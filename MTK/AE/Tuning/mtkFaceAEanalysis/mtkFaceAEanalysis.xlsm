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FIH-tool\MTK\AE\Tuning\mtkFaceAEanalysis\"/>
    </mc:Choice>
  </mc:AlternateContent>
  <xr:revisionPtr revIDLastSave="0" documentId="13_ncr:1_{5ABB88FA-A411-46CD-9A64-F35F330A0384}" xr6:coauthVersionLast="47" xr6:coauthVersionMax="47" xr10:uidLastSave="{00000000-0000-0000-0000-000000000000}"/>
  <bookViews>
    <workbookView xWindow="-120" yWindow="-17025" windowWidth="29040" windowHeight="15840" xr2:uid="{00000000-000D-0000-FFFF-FFFF00000000}"/>
  </bookViews>
  <sheets>
    <sheet name="0.mtkFaceAEdetect" sheetId="1" r:id="rId1"/>
    <sheet name="AEPline" sheetId="2" r:id="rId2"/>
  </sheets>
  <definedNames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2" i="1" l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U52" i="1"/>
  <c r="V52" i="1" s="1"/>
  <c r="W52" i="1" s="1"/>
  <c r="X52" i="1"/>
  <c r="Z52" i="1" s="1"/>
  <c r="Y52" i="1"/>
  <c r="AA52" i="1"/>
  <c r="U53" i="1"/>
  <c r="V53" i="1" s="1"/>
  <c r="W53" i="1" s="1"/>
  <c r="AA53" i="1" s="1"/>
  <c r="X53" i="1"/>
  <c r="Z53" i="1" s="1"/>
  <c r="Y53" i="1"/>
  <c r="U54" i="1"/>
  <c r="V54" i="1" s="1"/>
  <c r="W54" i="1" s="1"/>
  <c r="AA54" i="1" s="1"/>
  <c r="X54" i="1"/>
  <c r="Z54" i="1" s="1"/>
  <c r="Y54" i="1"/>
  <c r="U55" i="1"/>
  <c r="V55" i="1"/>
  <c r="W55" i="1" s="1"/>
  <c r="AA55" i="1" s="1"/>
  <c r="X55" i="1"/>
  <c r="Z55" i="1" s="1"/>
  <c r="Y55" i="1"/>
  <c r="U56" i="1"/>
  <c r="V56" i="1" s="1"/>
  <c r="W56" i="1"/>
  <c r="X56" i="1"/>
  <c r="Z56" i="1" s="1"/>
  <c r="Y56" i="1"/>
  <c r="U57" i="1"/>
  <c r="V57" i="1" s="1"/>
  <c r="W57" i="1" s="1"/>
  <c r="X57" i="1"/>
  <c r="Y57" i="1"/>
  <c r="U58" i="1"/>
  <c r="V58" i="1" s="1"/>
  <c r="W58" i="1" s="1"/>
  <c r="AA58" i="1" s="1"/>
  <c r="X58" i="1"/>
  <c r="Y58" i="1"/>
  <c r="Z58" i="1"/>
  <c r="U59" i="1"/>
  <c r="V59" i="1" s="1"/>
  <c r="W59" i="1" s="1"/>
  <c r="X59" i="1"/>
  <c r="Y59" i="1"/>
  <c r="Z59" i="1"/>
  <c r="AA59" i="1"/>
  <c r="U60" i="1"/>
  <c r="V60" i="1"/>
  <c r="W60" i="1" s="1"/>
  <c r="X60" i="1"/>
  <c r="Z60" i="1" s="1"/>
  <c r="Y60" i="1"/>
  <c r="AA60" i="1"/>
  <c r="U61" i="1"/>
  <c r="V61" i="1" s="1"/>
  <c r="W61" i="1" s="1"/>
  <c r="X61" i="1"/>
  <c r="Z61" i="1" s="1"/>
  <c r="Y61" i="1"/>
  <c r="U62" i="1"/>
  <c r="V62" i="1"/>
  <c r="W62" i="1" s="1"/>
  <c r="X62" i="1"/>
  <c r="Z62" i="1" s="1"/>
  <c r="Y62" i="1"/>
  <c r="U63" i="1"/>
  <c r="V63" i="1"/>
  <c r="W63" i="1"/>
  <c r="X63" i="1"/>
  <c r="Z63" i="1" s="1"/>
  <c r="Y63" i="1"/>
  <c r="U64" i="1"/>
  <c r="V64" i="1" s="1"/>
  <c r="W64" i="1"/>
  <c r="AA64" i="1" s="1"/>
  <c r="X64" i="1"/>
  <c r="Z64" i="1" s="1"/>
  <c r="Y64" i="1"/>
  <c r="U65" i="1"/>
  <c r="V65" i="1" s="1"/>
  <c r="W65" i="1" s="1"/>
  <c r="X65" i="1"/>
  <c r="Y65" i="1"/>
  <c r="U66" i="1"/>
  <c r="V66" i="1" s="1"/>
  <c r="W66" i="1" s="1"/>
  <c r="X66" i="1"/>
  <c r="Y66" i="1"/>
  <c r="Z66" i="1" s="1"/>
  <c r="U67" i="1"/>
  <c r="V67" i="1" s="1"/>
  <c r="W67" i="1" s="1"/>
  <c r="AA67" i="1" s="1"/>
  <c r="X67" i="1"/>
  <c r="Y67" i="1"/>
  <c r="Z67" i="1"/>
  <c r="U68" i="1"/>
  <c r="V68" i="1"/>
  <c r="W68" i="1" s="1"/>
  <c r="AA68" i="1" s="1"/>
  <c r="X68" i="1"/>
  <c r="Z68" i="1" s="1"/>
  <c r="Y68" i="1"/>
  <c r="U69" i="1"/>
  <c r="V69" i="1" s="1"/>
  <c r="W69" i="1" s="1"/>
  <c r="X69" i="1"/>
  <c r="Z69" i="1" s="1"/>
  <c r="Y69" i="1"/>
  <c r="U70" i="1"/>
  <c r="V70" i="1"/>
  <c r="W70" i="1" s="1"/>
  <c r="X70" i="1"/>
  <c r="U71" i="1"/>
  <c r="V71" i="1"/>
  <c r="W71" i="1"/>
  <c r="X71" i="1"/>
  <c r="U72" i="1"/>
  <c r="V72" i="1" s="1"/>
  <c r="W72" i="1"/>
  <c r="X72" i="1"/>
  <c r="U73" i="1"/>
  <c r="V73" i="1" s="1"/>
  <c r="W73" i="1" s="1"/>
  <c r="X73" i="1"/>
  <c r="U74" i="1"/>
  <c r="V74" i="1" s="1"/>
  <c r="W74" i="1" s="1"/>
  <c r="X74" i="1"/>
  <c r="U75" i="1"/>
  <c r="V75" i="1" s="1"/>
  <c r="W75" i="1" s="1"/>
  <c r="X75" i="1"/>
  <c r="U76" i="1"/>
  <c r="V76" i="1"/>
  <c r="W76" i="1" s="1"/>
  <c r="X76" i="1"/>
  <c r="U77" i="1"/>
  <c r="V77" i="1" s="1"/>
  <c r="W77" i="1" s="1"/>
  <c r="X77" i="1"/>
  <c r="U78" i="1"/>
  <c r="V78" i="1" s="1"/>
  <c r="W78" i="1" s="1"/>
  <c r="X78" i="1"/>
  <c r="U79" i="1"/>
  <c r="V79" i="1"/>
  <c r="W79" i="1"/>
  <c r="X79" i="1"/>
  <c r="U80" i="1"/>
  <c r="V80" i="1" s="1"/>
  <c r="W80" i="1"/>
  <c r="X80" i="1"/>
  <c r="U81" i="1"/>
  <c r="V81" i="1" s="1"/>
  <c r="W81" i="1" s="1"/>
  <c r="X81" i="1"/>
  <c r="U82" i="1"/>
  <c r="V82" i="1" s="1"/>
  <c r="W82" i="1" s="1"/>
  <c r="X82" i="1"/>
  <c r="U83" i="1"/>
  <c r="V83" i="1" s="1"/>
  <c r="W83" i="1" s="1"/>
  <c r="X83" i="1"/>
  <c r="U84" i="1"/>
  <c r="V84" i="1"/>
  <c r="W84" i="1" s="1"/>
  <c r="X84" i="1"/>
  <c r="U85" i="1"/>
  <c r="V85" i="1" s="1"/>
  <c r="W85" i="1" s="1"/>
  <c r="X85" i="1"/>
  <c r="U86" i="1"/>
  <c r="V86" i="1" s="1"/>
  <c r="W86" i="1" s="1"/>
  <c r="X86" i="1"/>
  <c r="U87" i="1"/>
  <c r="V87" i="1"/>
  <c r="W87" i="1"/>
  <c r="X87" i="1"/>
  <c r="U88" i="1"/>
  <c r="V88" i="1" s="1"/>
  <c r="W88" i="1"/>
  <c r="X88" i="1"/>
  <c r="U89" i="1"/>
  <c r="V89" i="1" s="1"/>
  <c r="W89" i="1" s="1"/>
  <c r="X89" i="1"/>
  <c r="U90" i="1"/>
  <c r="V90" i="1" s="1"/>
  <c r="W90" i="1" s="1"/>
  <c r="X90" i="1"/>
  <c r="U91" i="1"/>
  <c r="V91" i="1" s="1"/>
  <c r="W91" i="1" s="1"/>
  <c r="X91" i="1"/>
  <c r="U92" i="1"/>
  <c r="V92" i="1" s="1"/>
  <c r="W92" i="1" s="1"/>
  <c r="X92" i="1"/>
  <c r="U93" i="1"/>
  <c r="V93" i="1" s="1"/>
  <c r="W93" i="1" s="1"/>
  <c r="X93" i="1"/>
  <c r="U94" i="1"/>
  <c r="V94" i="1"/>
  <c r="W94" i="1" s="1"/>
  <c r="X94" i="1"/>
  <c r="U95" i="1"/>
  <c r="V95" i="1"/>
  <c r="W95" i="1"/>
  <c r="X95" i="1"/>
  <c r="U96" i="1"/>
  <c r="V96" i="1" s="1"/>
  <c r="W96" i="1"/>
  <c r="X96" i="1"/>
  <c r="U97" i="1"/>
  <c r="V97" i="1" s="1"/>
  <c r="W97" i="1" s="1"/>
  <c r="X97" i="1"/>
  <c r="U98" i="1"/>
  <c r="V98" i="1" s="1"/>
  <c r="W98" i="1" s="1"/>
  <c r="X98" i="1"/>
  <c r="U99" i="1"/>
  <c r="V99" i="1" s="1"/>
  <c r="W99" i="1" s="1"/>
  <c r="X99" i="1"/>
  <c r="U100" i="1"/>
  <c r="V100" i="1" s="1"/>
  <c r="W100" i="1" s="1"/>
  <c r="X100" i="1"/>
  <c r="U101" i="1"/>
  <c r="V101" i="1" s="1"/>
  <c r="W101" i="1" s="1"/>
  <c r="X101" i="1"/>
  <c r="U102" i="1"/>
  <c r="V102" i="1"/>
  <c r="W102" i="1" s="1"/>
  <c r="X102" i="1"/>
  <c r="U103" i="1"/>
  <c r="V103" i="1"/>
  <c r="W103" i="1" s="1"/>
  <c r="X103" i="1"/>
  <c r="U104" i="1"/>
  <c r="V104" i="1" s="1"/>
  <c r="W104" i="1"/>
  <c r="X104" i="1"/>
  <c r="U105" i="1"/>
  <c r="V105" i="1" s="1"/>
  <c r="W105" i="1" s="1"/>
  <c r="X105" i="1"/>
  <c r="U106" i="1"/>
  <c r="V106" i="1" s="1"/>
  <c r="W106" i="1" s="1"/>
  <c r="X106" i="1"/>
  <c r="U107" i="1"/>
  <c r="V107" i="1" s="1"/>
  <c r="W107" i="1" s="1"/>
  <c r="X107" i="1"/>
  <c r="U108" i="1"/>
  <c r="V108" i="1"/>
  <c r="W108" i="1" s="1"/>
  <c r="X108" i="1"/>
  <c r="U109" i="1"/>
  <c r="V109" i="1" s="1"/>
  <c r="W109" i="1" s="1"/>
  <c r="X109" i="1"/>
  <c r="U110" i="1"/>
  <c r="V110" i="1"/>
  <c r="W110" i="1" s="1"/>
  <c r="X110" i="1"/>
  <c r="U111" i="1"/>
  <c r="V111" i="1"/>
  <c r="W111" i="1"/>
  <c r="X111" i="1"/>
  <c r="U112" i="1"/>
  <c r="V112" i="1"/>
  <c r="W112" i="1"/>
  <c r="X112" i="1"/>
  <c r="U113" i="1"/>
  <c r="V113" i="1" s="1"/>
  <c r="W113" i="1" s="1"/>
  <c r="X113" i="1"/>
  <c r="U114" i="1"/>
  <c r="V114" i="1" s="1"/>
  <c r="W114" i="1" s="1"/>
  <c r="X114" i="1"/>
  <c r="U115" i="1"/>
  <c r="V115" i="1" s="1"/>
  <c r="W115" i="1" s="1"/>
  <c r="X115" i="1"/>
  <c r="U116" i="1"/>
  <c r="V116" i="1"/>
  <c r="W116" i="1" s="1"/>
  <c r="X116" i="1"/>
  <c r="U117" i="1"/>
  <c r="V117" i="1" s="1"/>
  <c r="W117" i="1" s="1"/>
  <c r="X117" i="1"/>
  <c r="U118" i="1"/>
  <c r="V118" i="1"/>
  <c r="W118" i="1" s="1"/>
  <c r="X118" i="1"/>
  <c r="U119" i="1"/>
  <c r="V119" i="1"/>
  <c r="W119" i="1"/>
  <c r="X119" i="1"/>
  <c r="U120" i="1"/>
  <c r="V120" i="1"/>
  <c r="W120" i="1"/>
  <c r="X120" i="1"/>
  <c r="U121" i="1"/>
  <c r="V121" i="1" s="1"/>
  <c r="W121" i="1" s="1"/>
  <c r="X121" i="1"/>
  <c r="U122" i="1"/>
  <c r="V122" i="1" s="1"/>
  <c r="W122" i="1" s="1"/>
  <c r="X122" i="1"/>
  <c r="U123" i="1"/>
  <c r="V123" i="1" s="1"/>
  <c r="W123" i="1" s="1"/>
  <c r="X123" i="1"/>
  <c r="U124" i="1"/>
  <c r="V124" i="1"/>
  <c r="W124" i="1" s="1"/>
  <c r="X124" i="1"/>
  <c r="U125" i="1"/>
  <c r="V125" i="1" s="1"/>
  <c r="W125" i="1" s="1"/>
  <c r="X125" i="1"/>
  <c r="U126" i="1"/>
  <c r="V126" i="1"/>
  <c r="W126" i="1"/>
  <c r="X126" i="1"/>
  <c r="U127" i="1"/>
  <c r="V127" i="1"/>
  <c r="W127" i="1"/>
  <c r="X127" i="1"/>
  <c r="U128" i="1"/>
  <c r="V128" i="1"/>
  <c r="W128" i="1"/>
  <c r="X128" i="1"/>
  <c r="U129" i="1"/>
  <c r="V129" i="1" s="1"/>
  <c r="W129" i="1" s="1"/>
  <c r="X129" i="1"/>
  <c r="U130" i="1"/>
  <c r="V130" i="1" s="1"/>
  <c r="W130" i="1" s="1"/>
  <c r="X130" i="1"/>
  <c r="U131" i="1"/>
  <c r="V131" i="1" s="1"/>
  <c r="W131" i="1" s="1"/>
  <c r="X131" i="1"/>
  <c r="U132" i="1"/>
  <c r="V132" i="1"/>
  <c r="W132" i="1" s="1"/>
  <c r="X132" i="1"/>
  <c r="U133" i="1"/>
  <c r="V133" i="1"/>
  <c r="W133" i="1" s="1"/>
  <c r="X133" i="1"/>
  <c r="U134" i="1"/>
  <c r="V134" i="1"/>
  <c r="W134" i="1"/>
  <c r="X134" i="1"/>
  <c r="U135" i="1"/>
  <c r="V135" i="1"/>
  <c r="W135" i="1" s="1"/>
  <c r="X135" i="1"/>
  <c r="U136" i="1"/>
  <c r="V136" i="1" s="1"/>
  <c r="W136" i="1"/>
  <c r="X136" i="1"/>
  <c r="U137" i="1"/>
  <c r="V137" i="1" s="1"/>
  <c r="W137" i="1" s="1"/>
  <c r="X137" i="1"/>
  <c r="U138" i="1"/>
  <c r="V138" i="1" s="1"/>
  <c r="W138" i="1" s="1"/>
  <c r="X138" i="1"/>
  <c r="U139" i="1"/>
  <c r="V139" i="1" s="1"/>
  <c r="W139" i="1" s="1"/>
  <c r="X139" i="1"/>
  <c r="U140" i="1"/>
  <c r="V140" i="1"/>
  <c r="W140" i="1" s="1"/>
  <c r="X140" i="1"/>
  <c r="U141" i="1"/>
  <c r="V141" i="1"/>
  <c r="W141" i="1"/>
  <c r="X141" i="1"/>
  <c r="U142" i="1"/>
  <c r="V142" i="1"/>
  <c r="W142" i="1" s="1"/>
  <c r="X142" i="1"/>
  <c r="U143" i="1"/>
  <c r="V143" i="1"/>
  <c r="W143" i="1" s="1"/>
  <c r="X143" i="1"/>
  <c r="U144" i="1"/>
  <c r="V144" i="1" s="1"/>
  <c r="W144" i="1" s="1"/>
  <c r="X144" i="1"/>
  <c r="U145" i="1"/>
  <c r="V145" i="1" s="1"/>
  <c r="W145" i="1" s="1"/>
  <c r="X145" i="1"/>
  <c r="U146" i="1"/>
  <c r="V146" i="1" s="1"/>
  <c r="W146" i="1" s="1"/>
  <c r="X146" i="1"/>
  <c r="U147" i="1"/>
  <c r="V147" i="1" s="1"/>
  <c r="W147" i="1" s="1"/>
  <c r="X147" i="1"/>
  <c r="U148" i="1"/>
  <c r="V148" i="1"/>
  <c r="W148" i="1" s="1"/>
  <c r="X148" i="1"/>
  <c r="U149" i="1"/>
  <c r="V149" i="1"/>
  <c r="W149" i="1" s="1"/>
  <c r="X149" i="1"/>
  <c r="U150" i="1"/>
  <c r="V150" i="1" s="1"/>
  <c r="W150" i="1" s="1"/>
  <c r="X150" i="1"/>
  <c r="U151" i="1"/>
  <c r="V151" i="1"/>
  <c r="W151" i="1"/>
  <c r="X151" i="1"/>
  <c r="U152" i="1"/>
  <c r="V152" i="1" s="1"/>
  <c r="W152" i="1"/>
  <c r="X152" i="1"/>
  <c r="U153" i="1"/>
  <c r="V153" i="1" s="1"/>
  <c r="W153" i="1" s="1"/>
  <c r="X153" i="1"/>
  <c r="U154" i="1"/>
  <c r="V154" i="1" s="1"/>
  <c r="W154" i="1" s="1"/>
  <c r="X154" i="1"/>
  <c r="U155" i="1"/>
  <c r="V155" i="1"/>
  <c r="W155" i="1" s="1"/>
  <c r="X155" i="1"/>
  <c r="U156" i="1"/>
  <c r="V156" i="1" s="1"/>
  <c r="W156" i="1" s="1"/>
  <c r="X156" i="1"/>
  <c r="U157" i="1"/>
  <c r="V157" i="1" s="1"/>
  <c r="W157" i="1" s="1"/>
  <c r="X157" i="1"/>
  <c r="U158" i="1"/>
  <c r="V158" i="1"/>
  <c r="W158" i="1" s="1"/>
  <c r="X158" i="1"/>
  <c r="U159" i="1"/>
  <c r="V159" i="1"/>
  <c r="W159" i="1"/>
  <c r="X159" i="1"/>
  <c r="U160" i="1"/>
  <c r="V160" i="1" s="1"/>
  <c r="W160" i="1"/>
  <c r="X160" i="1"/>
  <c r="U161" i="1"/>
  <c r="V161" i="1" s="1"/>
  <c r="W161" i="1" s="1"/>
  <c r="X161" i="1"/>
  <c r="U162" i="1"/>
  <c r="V162" i="1" s="1"/>
  <c r="W162" i="1" s="1"/>
  <c r="X162" i="1"/>
  <c r="U163" i="1"/>
  <c r="V163" i="1"/>
  <c r="W163" i="1" s="1"/>
  <c r="X163" i="1"/>
  <c r="U164" i="1"/>
  <c r="V164" i="1"/>
  <c r="W164" i="1" s="1"/>
  <c r="X164" i="1"/>
  <c r="U165" i="1"/>
  <c r="V165" i="1"/>
  <c r="W165" i="1"/>
  <c r="X165" i="1"/>
  <c r="U166" i="1"/>
  <c r="V166" i="1" s="1"/>
  <c r="W166" i="1" s="1"/>
  <c r="X166" i="1"/>
  <c r="U167" i="1"/>
  <c r="V167" i="1"/>
  <c r="W167" i="1" s="1"/>
  <c r="X167" i="1"/>
  <c r="U168" i="1"/>
  <c r="V168" i="1" s="1"/>
  <c r="W168" i="1" s="1"/>
  <c r="X168" i="1"/>
  <c r="U169" i="1"/>
  <c r="V169" i="1" s="1"/>
  <c r="W169" i="1" s="1"/>
  <c r="X169" i="1"/>
  <c r="U170" i="1"/>
  <c r="V170" i="1" s="1"/>
  <c r="W170" i="1" s="1"/>
  <c r="X170" i="1"/>
  <c r="U171" i="1"/>
  <c r="V171" i="1" s="1"/>
  <c r="W171" i="1" s="1"/>
  <c r="X171" i="1"/>
  <c r="U172" i="1"/>
  <c r="V172" i="1" s="1"/>
  <c r="W172" i="1" s="1"/>
  <c r="X172" i="1"/>
  <c r="U173" i="1"/>
  <c r="V173" i="1"/>
  <c r="W173" i="1" s="1"/>
  <c r="X173" i="1"/>
  <c r="U174" i="1"/>
  <c r="V174" i="1"/>
  <c r="W174" i="1"/>
  <c r="X174" i="1"/>
  <c r="U175" i="1"/>
  <c r="V175" i="1"/>
  <c r="W175" i="1"/>
  <c r="X175" i="1"/>
  <c r="U176" i="1"/>
  <c r="V176" i="1" s="1"/>
  <c r="W176" i="1"/>
  <c r="X176" i="1"/>
  <c r="U177" i="1"/>
  <c r="V177" i="1" s="1"/>
  <c r="W177" i="1" s="1"/>
  <c r="X177" i="1"/>
  <c r="U178" i="1"/>
  <c r="V178" i="1" s="1"/>
  <c r="W178" i="1" s="1"/>
  <c r="X178" i="1"/>
  <c r="U179" i="1"/>
  <c r="V179" i="1"/>
  <c r="W179" i="1" s="1"/>
  <c r="X179" i="1"/>
  <c r="U180" i="1"/>
  <c r="V180" i="1"/>
  <c r="W180" i="1"/>
  <c r="X180" i="1"/>
  <c r="U181" i="1"/>
  <c r="V181" i="1" s="1"/>
  <c r="W181" i="1"/>
  <c r="X181" i="1"/>
  <c r="U182" i="1"/>
  <c r="V182" i="1"/>
  <c r="W182" i="1" s="1"/>
  <c r="X182" i="1"/>
  <c r="U183" i="1"/>
  <c r="V183" i="1"/>
  <c r="W183" i="1" s="1"/>
  <c r="X183" i="1"/>
  <c r="U184" i="1"/>
  <c r="V184" i="1" s="1"/>
  <c r="W184" i="1"/>
  <c r="X184" i="1"/>
  <c r="U185" i="1"/>
  <c r="V185" i="1" s="1"/>
  <c r="W185" i="1" s="1"/>
  <c r="X185" i="1"/>
  <c r="U186" i="1"/>
  <c r="V186" i="1" s="1"/>
  <c r="W186" i="1" s="1"/>
  <c r="X186" i="1"/>
  <c r="U187" i="1"/>
  <c r="V187" i="1"/>
  <c r="W187" i="1" s="1"/>
  <c r="X187" i="1"/>
  <c r="U188" i="1"/>
  <c r="V188" i="1"/>
  <c r="W188" i="1" s="1"/>
  <c r="X188" i="1"/>
  <c r="U189" i="1"/>
  <c r="V189" i="1"/>
  <c r="W189" i="1" s="1"/>
  <c r="X189" i="1"/>
  <c r="U190" i="1"/>
  <c r="V190" i="1" s="1"/>
  <c r="W190" i="1" s="1"/>
  <c r="X190" i="1"/>
  <c r="U191" i="1"/>
  <c r="V191" i="1"/>
  <c r="W191" i="1"/>
  <c r="X191" i="1"/>
  <c r="U192" i="1"/>
  <c r="V192" i="1" s="1"/>
  <c r="W192" i="1"/>
  <c r="X192" i="1"/>
  <c r="U193" i="1"/>
  <c r="V193" i="1"/>
  <c r="W193" i="1" s="1"/>
  <c r="X193" i="1"/>
  <c r="U194" i="1"/>
  <c r="V194" i="1" s="1"/>
  <c r="W194" i="1" s="1"/>
  <c r="X194" i="1"/>
  <c r="U195" i="1"/>
  <c r="V195" i="1"/>
  <c r="W195" i="1" s="1"/>
  <c r="X195" i="1"/>
  <c r="U196" i="1"/>
  <c r="V196" i="1"/>
  <c r="W196" i="1"/>
  <c r="X196" i="1"/>
  <c r="U197" i="1"/>
  <c r="V197" i="1" s="1"/>
  <c r="W197" i="1" s="1"/>
  <c r="X197" i="1"/>
  <c r="U198" i="1"/>
  <c r="V198" i="1"/>
  <c r="W198" i="1" s="1"/>
  <c r="X198" i="1"/>
  <c r="U199" i="1"/>
  <c r="V199" i="1" s="1"/>
  <c r="W199" i="1"/>
  <c r="X199" i="1"/>
  <c r="U200" i="1"/>
  <c r="V200" i="1"/>
  <c r="W200" i="1" s="1"/>
  <c r="X200" i="1"/>
  <c r="AG52" i="1"/>
  <c r="AK52" i="1" s="1"/>
  <c r="AH52" i="1"/>
  <c r="AM52" i="1"/>
  <c r="AN52" i="1"/>
  <c r="AP52" i="1" s="1"/>
  <c r="AO52" i="1"/>
  <c r="AG53" i="1"/>
  <c r="AK53" i="1" s="1"/>
  <c r="AH53" i="1"/>
  <c r="AO53" i="1"/>
  <c r="AM53" i="1" s="1"/>
  <c r="AN53" i="1" s="1"/>
  <c r="AP53" i="1" s="1"/>
  <c r="AG54" i="1"/>
  <c r="AK54" i="1" s="1"/>
  <c r="AI54" i="1" s="1"/>
  <c r="AJ54" i="1" s="1"/>
  <c r="AL54" i="1" s="1"/>
  <c r="AH54" i="1"/>
  <c r="AO54" i="1"/>
  <c r="AM54" i="1" s="1"/>
  <c r="AN54" i="1" s="1"/>
  <c r="AP54" i="1" s="1"/>
  <c r="AG55" i="1"/>
  <c r="AH55" i="1"/>
  <c r="AO55" i="1" s="1"/>
  <c r="AK55" i="1"/>
  <c r="AI55" i="1" s="1"/>
  <c r="AJ55" i="1" s="1"/>
  <c r="AL55" i="1"/>
  <c r="AT55" i="1" s="1"/>
  <c r="AM55" i="1"/>
  <c r="AN55" i="1" s="1"/>
  <c r="AP55" i="1" s="1"/>
  <c r="AS55" i="1"/>
  <c r="AG56" i="1"/>
  <c r="AH56" i="1"/>
  <c r="AK56" i="1"/>
  <c r="AM56" i="1"/>
  <c r="AN56" i="1"/>
  <c r="AP56" i="1" s="1"/>
  <c r="AO56" i="1"/>
  <c r="AS56" i="1"/>
  <c r="AG57" i="1"/>
  <c r="AK57" i="1" s="1"/>
  <c r="AH57" i="1"/>
  <c r="AO57" i="1"/>
  <c r="AM57" i="1" s="1"/>
  <c r="AN57" i="1" s="1"/>
  <c r="AP57" i="1" s="1"/>
  <c r="AG58" i="1"/>
  <c r="AK58" i="1" s="1"/>
  <c r="AI58" i="1" s="1"/>
  <c r="AJ58" i="1" s="1"/>
  <c r="AL58" i="1" s="1"/>
  <c r="AH58" i="1"/>
  <c r="AO58" i="1"/>
  <c r="AM58" i="1" s="1"/>
  <c r="AN58" i="1" s="1"/>
  <c r="AP58" i="1" s="1"/>
  <c r="AQ58" i="1"/>
  <c r="AG59" i="1"/>
  <c r="AH59" i="1"/>
  <c r="AO59" i="1" s="1"/>
  <c r="AK59" i="1"/>
  <c r="AI59" i="1" s="1"/>
  <c r="AJ59" i="1" s="1"/>
  <c r="AL59" i="1"/>
  <c r="AM59" i="1"/>
  <c r="AN59" i="1" s="1"/>
  <c r="AP59" i="1" s="1"/>
  <c r="AS59" i="1"/>
  <c r="AT59" i="1"/>
  <c r="AG60" i="1"/>
  <c r="AH60" i="1"/>
  <c r="AK60" i="1"/>
  <c r="AM60" i="1"/>
  <c r="AN60" i="1"/>
  <c r="AP60" i="1" s="1"/>
  <c r="AO60" i="1"/>
  <c r="AS60" i="1"/>
  <c r="AG61" i="1"/>
  <c r="AK61" i="1" s="1"/>
  <c r="AH61" i="1"/>
  <c r="AO61" i="1"/>
  <c r="AM61" i="1" s="1"/>
  <c r="AN61" i="1" s="1"/>
  <c r="AP61" i="1" s="1"/>
  <c r="AG62" i="1"/>
  <c r="AK62" i="1" s="1"/>
  <c r="AI62" i="1" s="1"/>
  <c r="AJ62" i="1" s="1"/>
  <c r="AL62" i="1" s="1"/>
  <c r="AH62" i="1"/>
  <c r="AO62" i="1"/>
  <c r="AM62" i="1" s="1"/>
  <c r="AN62" i="1" s="1"/>
  <c r="AP62" i="1" s="1"/>
  <c r="AQ62" i="1"/>
  <c r="AS62" i="1"/>
  <c r="AG63" i="1"/>
  <c r="AH63" i="1"/>
  <c r="AO63" i="1" s="1"/>
  <c r="AK63" i="1"/>
  <c r="AI63" i="1" s="1"/>
  <c r="AJ63" i="1" s="1"/>
  <c r="AL63" i="1" s="1"/>
  <c r="AM63" i="1"/>
  <c r="AN63" i="1" s="1"/>
  <c r="AP63" i="1" s="1"/>
  <c r="AQ63" i="1"/>
  <c r="AS63" i="1"/>
  <c r="AG64" i="1"/>
  <c r="AH64" i="1"/>
  <c r="AK64" i="1"/>
  <c r="AO64" i="1"/>
  <c r="AM64" i="1" s="1"/>
  <c r="AN64" i="1" s="1"/>
  <c r="AP64" i="1" s="1"/>
  <c r="AG65" i="1"/>
  <c r="AK65" i="1" s="1"/>
  <c r="AH65" i="1"/>
  <c r="AI65" i="1"/>
  <c r="AJ65" i="1" s="1"/>
  <c r="AL65" i="1" s="1"/>
  <c r="AO65" i="1"/>
  <c r="AM65" i="1" s="1"/>
  <c r="AN65" i="1" s="1"/>
  <c r="AP65" i="1" s="1"/>
  <c r="AG66" i="1"/>
  <c r="AK66" i="1" s="1"/>
  <c r="AH66" i="1"/>
  <c r="AN66" i="1"/>
  <c r="AP66" i="1" s="1"/>
  <c r="AO66" i="1"/>
  <c r="AM66" i="1" s="1"/>
  <c r="AG67" i="1"/>
  <c r="AH67" i="1"/>
  <c r="AO67" i="1" s="1"/>
  <c r="AM67" i="1" s="1"/>
  <c r="AN67" i="1" s="1"/>
  <c r="AI67" i="1"/>
  <c r="AJ67" i="1" s="1"/>
  <c r="AL67" i="1" s="1"/>
  <c r="AR67" i="1" s="1"/>
  <c r="AK67" i="1"/>
  <c r="AP67" i="1"/>
  <c r="AQ67" i="1"/>
  <c r="AG68" i="1"/>
  <c r="AK68" i="1" s="1"/>
  <c r="AH68" i="1"/>
  <c r="AM68" i="1"/>
  <c r="AN68" i="1"/>
  <c r="AP68" i="1" s="1"/>
  <c r="AO68" i="1"/>
  <c r="AS68" i="1"/>
  <c r="AG69" i="1"/>
  <c r="AK69" i="1" s="1"/>
  <c r="AI69" i="1" s="1"/>
  <c r="AJ69" i="1" s="1"/>
  <c r="AH69" i="1"/>
  <c r="AL69" i="1"/>
  <c r="AM69" i="1"/>
  <c r="AN69" i="1" s="1"/>
  <c r="AP69" i="1" s="1"/>
  <c r="AO69" i="1"/>
  <c r="AQ69" i="1"/>
  <c r="AG70" i="1"/>
  <c r="AH70" i="1"/>
  <c r="AI70" i="1"/>
  <c r="AJ70" i="1" s="1"/>
  <c r="AL70" i="1" s="1"/>
  <c r="AK70" i="1"/>
  <c r="AO70" i="1"/>
  <c r="AM70" i="1" s="1"/>
  <c r="AQ70" i="1" s="1"/>
  <c r="AG71" i="1"/>
  <c r="AH71" i="1"/>
  <c r="AO71" i="1" s="1"/>
  <c r="AM71" i="1" s="1"/>
  <c r="AN71" i="1" s="1"/>
  <c r="AP71" i="1" s="1"/>
  <c r="AK71" i="1"/>
  <c r="AS71" i="1"/>
  <c r="AG72" i="1"/>
  <c r="AH72" i="1"/>
  <c r="AK72" i="1"/>
  <c r="AS72" i="1" s="1"/>
  <c r="AO72" i="1"/>
  <c r="AM72" i="1" s="1"/>
  <c r="AN72" i="1" s="1"/>
  <c r="AP72" i="1" s="1"/>
  <c r="AG73" i="1"/>
  <c r="AK73" i="1" s="1"/>
  <c r="AH73" i="1"/>
  <c r="AO73" i="1" s="1"/>
  <c r="AM73" i="1" s="1"/>
  <c r="AN73" i="1" s="1"/>
  <c r="AP73" i="1" s="1"/>
  <c r="AG74" i="1"/>
  <c r="AK74" i="1" s="1"/>
  <c r="AH74" i="1"/>
  <c r="AN74" i="1"/>
  <c r="AP74" i="1" s="1"/>
  <c r="AO74" i="1"/>
  <c r="AM74" i="1" s="1"/>
  <c r="AG75" i="1"/>
  <c r="AH75" i="1"/>
  <c r="AO75" i="1" s="1"/>
  <c r="AK75" i="1"/>
  <c r="AM75" i="1"/>
  <c r="AN75" i="1" s="1"/>
  <c r="AP75" i="1" s="1"/>
  <c r="AG76" i="1"/>
  <c r="AH76" i="1"/>
  <c r="AK76" i="1"/>
  <c r="AM76" i="1"/>
  <c r="AN76" i="1" s="1"/>
  <c r="AP76" i="1" s="1"/>
  <c r="AO76" i="1"/>
  <c r="AS76" i="1"/>
  <c r="AG77" i="1"/>
  <c r="AK77" i="1" s="1"/>
  <c r="AH77" i="1"/>
  <c r="AO77" i="1" s="1"/>
  <c r="AM77" i="1" s="1"/>
  <c r="AN77" i="1" s="1"/>
  <c r="AP77" i="1" s="1"/>
  <c r="AG78" i="1"/>
  <c r="AK78" i="1" s="1"/>
  <c r="AH78" i="1"/>
  <c r="AI78" i="1"/>
  <c r="AJ78" i="1" s="1"/>
  <c r="AL78" i="1" s="1"/>
  <c r="AO78" i="1"/>
  <c r="AM78" i="1" s="1"/>
  <c r="AN78" i="1" s="1"/>
  <c r="AP78" i="1" s="1"/>
  <c r="AG79" i="1"/>
  <c r="AH79" i="1"/>
  <c r="AO79" i="1" s="1"/>
  <c r="AK79" i="1"/>
  <c r="AI79" i="1" s="1"/>
  <c r="AJ79" i="1" s="1"/>
  <c r="AL79" i="1"/>
  <c r="AM79" i="1"/>
  <c r="AG80" i="1"/>
  <c r="AH80" i="1"/>
  <c r="AK80" i="1"/>
  <c r="AO80" i="1"/>
  <c r="AM80" i="1" s="1"/>
  <c r="AN80" i="1" s="1"/>
  <c r="AP80" i="1" s="1"/>
  <c r="AG81" i="1"/>
  <c r="AK81" i="1" s="1"/>
  <c r="AH81" i="1"/>
  <c r="AI81" i="1"/>
  <c r="AJ81" i="1" s="1"/>
  <c r="AL81" i="1" s="1"/>
  <c r="AO81" i="1"/>
  <c r="AM81" i="1" s="1"/>
  <c r="AN81" i="1" s="1"/>
  <c r="AP81" i="1" s="1"/>
  <c r="AG82" i="1"/>
  <c r="AH82" i="1"/>
  <c r="AK82" i="1"/>
  <c r="AN82" i="1"/>
  <c r="AP82" i="1" s="1"/>
  <c r="AO82" i="1"/>
  <c r="AM82" i="1" s="1"/>
  <c r="AS82" i="1"/>
  <c r="AG83" i="1"/>
  <c r="AH83" i="1"/>
  <c r="AO83" i="1" s="1"/>
  <c r="AM83" i="1" s="1"/>
  <c r="AI83" i="1"/>
  <c r="AJ83" i="1" s="1"/>
  <c r="AL83" i="1" s="1"/>
  <c r="AK83" i="1"/>
  <c r="AG84" i="1"/>
  <c r="AK84" i="1" s="1"/>
  <c r="AH84" i="1"/>
  <c r="AM84" i="1"/>
  <c r="AN84" i="1"/>
  <c r="AP84" i="1" s="1"/>
  <c r="AO84" i="1"/>
  <c r="AG85" i="1"/>
  <c r="AK85" i="1" s="1"/>
  <c r="AI85" i="1" s="1"/>
  <c r="AJ85" i="1" s="1"/>
  <c r="AL85" i="1" s="1"/>
  <c r="AH85" i="1"/>
  <c r="AM85" i="1"/>
  <c r="AO85" i="1"/>
  <c r="AG86" i="1"/>
  <c r="AH86" i="1"/>
  <c r="AI86" i="1"/>
  <c r="AJ86" i="1" s="1"/>
  <c r="AL86" i="1" s="1"/>
  <c r="AK86" i="1"/>
  <c r="AN86" i="1"/>
  <c r="AO86" i="1"/>
  <c r="AM86" i="1" s="1"/>
  <c r="AQ86" i="1" s="1"/>
  <c r="AG87" i="1"/>
  <c r="AH87" i="1"/>
  <c r="AO87" i="1" s="1"/>
  <c r="AM87" i="1" s="1"/>
  <c r="AN87" i="1" s="1"/>
  <c r="AP87" i="1" s="1"/>
  <c r="AK87" i="1"/>
  <c r="AS87" i="1" s="1"/>
  <c r="AG88" i="1"/>
  <c r="AH88" i="1"/>
  <c r="AK88" i="1"/>
  <c r="AO88" i="1"/>
  <c r="AM88" i="1" s="1"/>
  <c r="AN88" i="1" s="1"/>
  <c r="AP88" i="1" s="1"/>
  <c r="AG89" i="1"/>
  <c r="AK89" i="1" s="1"/>
  <c r="AH89" i="1"/>
  <c r="AO89" i="1"/>
  <c r="AM89" i="1" s="1"/>
  <c r="AN89" i="1" s="1"/>
  <c r="AP89" i="1" s="1"/>
  <c r="AG90" i="1"/>
  <c r="AH90" i="1"/>
  <c r="AK90" i="1"/>
  <c r="AN90" i="1"/>
  <c r="AP90" i="1" s="1"/>
  <c r="AO90" i="1"/>
  <c r="AM90" i="1" s="1"/>
  <c r="AG91" i="1"/>
  <c r="AH91" i="1"/>
  <c r="AO91" i="1" s="1"/>
  <c r="AK91" i="1"/>
  <c r="AM91" i="1"/>
  <c r="AN91" i="1" s="1"/>
  <c r="AP91" i="1"/>
  <c r="AG92" i="1"/>
  <c r="AK92" i="1" s="1"/>
  <c r="AH92" i="1"/>
  <c r="AM92" i="1"/>
  <c r="AN92" i="1" s="1"/>
  <c r="AP92" i="1" s="1"/>
  <c r="AO92" i="1"/>
  <c r="AG93" i="1"/>
  <c r="AK93" i="1" s="1"/>
  <c r="AH93" i="1"/>
  <c r="AO93" i="1" s="1"/>
  <c r="AM93" i="1" s="1"/>
  <c r="AN93" i="1" s="1"/>
  <c r="AP93" i="1" s="1"/>
  <c r="AI93" i="1"/>
  <c r="AJ93" i="1" s="1"/>
  <c r="AL93" i="1" s="1"/>
  <c r="AG94" i="1"/>
  <c r="AK94" i="1" s="1"/>
  <c r="AS94" i="1" s="1"/>
  <c r="AH94" i="1"/>
  <c r="AO94" i="1"/>
  <c r="AM94" i="1" s="1"/>
  <c r="AN94" i="1" s="1"/>
  <c r="AP94" i="1" s="1"/>
  <c r="AG95" i="1"/>
  <c r="AH95" i="1"/>
  <c r="AO95" i="1" s="1"/>
  <c r="AK95" i="1"/>
  <c r="AI95" i="1" s="1"/>
  <c r="AJ95" i="1" s="1"/>
  <c r="AL95" i="1"/>
  <c r="AM95" i="1"/>
  <c r="AN95" i="1" s="1"/>
  <c r="AP95" i="1" s="1"/>
  <c r="AQ95" i="1"/>
  <c r="AS95" i="1"/>
  <c r="AG96" i="1"/>
  <c r="AH96" i="1"/>
  <c r="AK96" i="1"/>
  <c r="AN96" i="1"/>
  <c r="AP96" i="1" s="1"/>
  <c r="AO96" i="1"/>
  <c r="AM96" i="1" s="1"/>
  <c r="AG97" i="1"/>
  <c r="AK97" i="1" s="1"/>
  <c r="AH97" i="1"/>
  <c r="AO97" i="1" s="1"/>
  <c r="AM97" i="1" s="1"/>
  <c r="AN97" i="1" s="1"/>
  <c r="AP97" i="1" s="1"/>
  <c r="AI97" i="1"/>
  <c r="AJ97" i="1" s="1"/>
  <c r="AL97" i="1" s="1"/>
  <c r="AG98" i="1"/>
  <c r="AH98" i="1"/>
  <c r="AK98" i="1"/>
  <c r="AN98" i="1"/>
  <c r="AP98" i="1" s="1"/>
  <c r="AO98" i="1"/>
  <c r="AM98" i="1" s="1"/>
  <c r="AG99" i="1"/>
  <c r="AH99" i="1"/>
  <c r="AO99" i="1" s="1"/>
  <c r="AM99" i="1" s="1"/>
  <c r="AI99" i="1"/>
  <c r="AJ99" i="1" s="1"/>
  <c r="AL99" i="1" s="1"/>
  <c r="AK99" i="1"/>
  <c r="AG100" i="1"/>
  <c r="AK100" i="1" s="1"/>
  <c r="AH100" i="1"/>
  <c r="AM100" i="1"/>
  <c r="AN100" i="1" s="1"/>
  <c r="AO100" i="1"/>
  <c r="AG101" i="1"/>
  <c r="AK101" i="1" s="1"/>
  <c r="AI101" i="1" s="1"/>
  <c r="AJ101" i="1" s="1"/>
  <c r="AH101" i="1"/>
  <c r="AL101" i="1"/>
  <c r="AM101" i="1"/>
  <c r="AN101" i="1" s="1"/>
  <c r="AO101" i="1"/>
  <c r="AP101" i="1"/>
  <c r="AQ101" i="1"/>
  <c r="AG102" i="1"/>
  <c r="AH102" i="1"/>
  <c r="AI102" i="1"/>
  <c r="AJ102" i="1"/>
  <c r="AL102" i="1" s="1"/>
  <c r="AK102" i="1"/>
  <c r="AO102" i="1"/>
  <c r="AM102" i="1" s="1"/>
  <c r="AG103" i="1"/>
  <c r="AH103" i="1"/>
  <c r="AO103" i="1" s="1"/>
  <c r="AM103" i="1" s="1"/>
  <c r="AN103" i="1" s="1"/>
  <c r="AP103" i="1" s="1"/>
  <c r="AK103" i="1"/>
  <c r="AS103" i="1"/>
  <c r="AG104" i="1"/>
  <c r="AH104" i="1"/>
  <c r="AK104" i="1"/>
  <c r="AS104" i="1" s="1"/>
  <c r="AO104" i="1"/>
  <c r="AM104" i="1" s="1"/>
  <c r="AN104" i="1" s="1"/>
  <c r="AP104" i="1" s="1"/>
  <c r="AG105" i="1"/>
  <c r="AK105" i="1" s="1"/>
  <c r="AH105" i="1"/>
  <c r="AO105" i="1" s="1"/>
  <c r="AM105" i="1" s="1"/>
  <c r="AN105" i="1" s="1"/>
  <c r="AP105" i="1" s="1"/>
  <c r="AG106" i="1"/>
  <c r="AK106" i="1" s="1"/>
  <c r="AH106" i="1"/>
  <c r="AN106" i="1"/>
  <c r="AP106" i="1" s="1"/>
  <c r="AO106" i="1"/>
  <c r="AM106" i="1" s="1"/>
  <c r="AG107" i="1"/>
  <c r="AH107" i="1"/>
  <c r="AO107" i="1" s="1"/>
  <c r="AK107" i="1"/>
  <c r="AM107" i="1"/>
  <c r="AN107" i="1"/>
  <c r="AP107" i="1" s="1"/>
  <c r="AG108" i="1"/>
  <c r="AK108" i="1" s="1"/>
  <c r="AH108" i="1"/>
  <c r="AO108" i="1" s="1"/>
  <c r="AM108" i="1" s="1"/>
  <c r="AN108" i="1" s="1"/>
  <c r="AP108" i="1" s="1"/>
  <c r="AS108" i="1"/>
  <c r="AG109" i="1"/>
  <c r="AH109" i="1"/>
  <c r="AK109" i="1"/>
  <c r="AM109" i="1"/>
  <c r="AN109" i="1"/>
  <c r="AP109" i="1" s="1"/>
  <c r="AO109" i="1"/>
  <c r="AS109" i="1"/>
  <c r="AG110" i="1"/>
  <c r="AK110" i="1" s="1"/>
  <c r="AH110" i="1"/>
  <c r="AO110" i="1"/>
  <c r="AM110" i="1" s="1"/>
  <c r="AN110" i="1" s="1"/>
  <c r="AP110" i="1"/>
  <c r="AG111" i="1"/>
  <c r="AK111" i="1" s="1"/>
  <c r="AH111" i="1"/>
  <c r="AO111" i="1"/>
  <c r="AM111" i="1" s="1"/>
  <c r="AN111" i="1" s="1"/>
  <c r="AP111" i="1" s="1"/>
  <c r="AQ111" i="1"/>
  <c r="AG112" i="1"/>
  <c r="AH112" i="1"/>
  <c r="AO112" i="1" s="1"/>
  <c r="AM112" i="1" s="1"/>
  <c r="AN112" i="1" s="1"/>
  <c r="AI112" i="1"/>
  <c r="AJ112" i="1" s="1"/>
  <c r="AL112" i="1" s="1"/>
  <c r="AK112" i="1"/>
  <c r="AT112" i="1"/>
  <c r="AG113" i="1"/>
  <c r="AH113" i="1"/>
  <c r="AK113" i="1"/>
  <c r="AM113" i="1"/>
  <c r="AN113" i="1"/>
  <c r="AP113" i="1" s="1"/>
  <c r="AO113" i="1"/>
  <c r="AS113" i="1"/>
  <c r="AG114" i="1"/>
  <c r="AK114" i="1" s="1"/>
  <c r="AH114" i="1"/>
  <c r="AO114" i="1"/>
  <c r="AM114" i="1" s="1"/>
  <c r="AN114" i="1" s="1"/>
  <c r="AP114" i="1" s="1"/>
  <c r="AG115" i="1"/>
  <c r="AK115" i="1" s="1"/>
  <c r="AH115" i="1"/>
  <c r="AO115" i="1"/>
  <c r="AM115" i="1" s="1"/>
  <c r="AN115" i="1" s="1"/>
  <c r="AP115" i="1" s="1"/>
  <c r="AS115" i="1"/>
  <c r="AG116" i="1"/>
  <c r="AH116" i="1"/>
  <c r="AO116" i="1" s="1"/>
  <c r="AM116" i="1" s="1"/>
  <c r="AK116" i="1"/>
  <c r="AG117" i="1"/>
  <c r="AK117" i="1" s="1"/>
  <c r="AH117" i="1"/>
  <c r="AM117" i="1"/>
  <c r="AN117" i="1" s="1"/>
  <c r="AP117" i="1" s="1"/>
  <c r="AO117" i="1"/>
  <c r="AG118" i="1"/>
  <c r="AK118" i="1" s="1"/>
  <c r="AI118" i="1" s="1"/>
  <c r="AJ118" i="1" s="1"/>
  <c r="AH118" i="1"/>
  <c r="AO118" i="1" s="1"/>
  <c r="AL118" i="1"/>
  <c r="AM118" i="1"/>
  <c r="AN118" i="1" s="1"/>
  <c r="AP118" i="1" s="1"/>
  <c r="AG119" i="1"/>
  <c r="AK119" i="1" s="1"/>
  <c r="AH119" i="1"/>
  <c r="AO119" i="1"/>
  <c r="AM119" i="1" s="1"/>
  <c r="AN119" i="1" s="1"/>
  <c r="AP119" i="1" s="1"/>
  <c r="AG120" i="1"/>
  <c r="AH120" i="1"/>
  <c r="AO120" i="1" s="1"/>
  <c r="AM120" i="1" s="1"/>
  <c r="AK120" i="1"/>
  <c r="AI120" i="1" s="1"/>
  <c r="AJ120" i="1" s="1"/>
  <c r="AL120" i="1" s="1"/>
  <c r="AG121" i="1"/>
  <c r="AH121" i="1"/>
  <c r="AK121" i="1"/>
  <c r="AM121" i="1"/>
  <c r="AN121" i="1" s="1"/>
  <c r="AP121" i="1" s="1"/>
  <c r="AO121" i="1"/>
  <c r="AG122" i="1"/>
  <c r="AK122" i="1" s="1"/>
  <c r="AH122" i="1"/>
  <c r="AO122" i="1"/>
  <c r="AM122" i="1" s="1"/>
  <c r="AN122" i="1" s="1"/>
  <c r="AP122" i="1" s="1"/>
  <c r="AG123" i="1"/>
  <c r="AH123" i="1"/>
  <c r="AK123" i="1"/>
  <c r="AO123" i="1"/>
  <c r="AM123" i="1" s="1"/>
  <c r="AN123" i="1" s="1"/>
  <c r="AP123" i="1"/>
  <c r="AG124" i="1"/>
  <c r="AH124" i="1"/>
  <c r="AO124" i="1" s="1"/>
  <c r="AM124" i="1" s="1"/>
  <c r="AN124" i="1" s="1"/>
  <c r="AP124" i="1" s="1"/>
  <c r="AK124" i="1"/>
  <c r="AG125" i="1"/>
  <c r="AK125" i="1" s="1"/>
  <c r="AH125" i="1"/>
  <c r="AM125" i="1"/>
  <c r="AN125" i="1" s="1"/>
  <c r="AP125" i="1" s="1"/>
  <c r="AO125" i="1"/>
  <c r="AG126" i="1"/>
  <c r="AK126" i="1" s="1"/>
  <c r="AH126" i="1"/>
  <c r="AO126" i="1" s="1"/>
  <c r="AI126" i="1"/>
  <c r="AJ126" i="1" s="1"/>
  <c r="AL126" i="1" s="1"/>
  <c r="AM126" i="1"/>
  <c r="AQ126" i="1" s="1"/>
  <c r="AG127" i="1"/>
  <c r="AK127" i="1" s="1"/>
  <c r="AQ127" i="1" s="1"/>
  <c r="AH127" i="1"/>
  <c r="AI127" i="1"/>
  <c r="AJ127" i="1" s="1"/>
  <c r="AL127" i="1" s="1"/>
  <c r="AO127" i="1"/>
  <c r="AM127" i="1" s="1"/>
  <c r="AN127" i="1" s="1"/>
  <c r="AP127" i="1" s="1"/>
  <c r="AG128" i="1"/>
  <c r="AH128" i="1"/>
  <c r="AK128" i="1"/>
  <c r="AM128" i="1"/>
  <c r="AN128" i="1" s="1"/>
  <c r="AP128" i="1" s="1"/>
  <c r="AO128" i="1"/>
  <c r="AG129" i="1"/>
  <c r="AH129" i="1"/>
  <c r="AI129" i="1"/>
  <c r="AJ129" i="1" s="1"/>
  <c r="AL129" i="1" s="1"/>
  <c r="AK129" i="1"/>
  <c r="AM129" i="1"/>
  <c r="AN129" i="1"/>
  <c r="AO129" i="1"/>
  <c r="AQ129" i="1"/>
  <c r="AG130" i="1"/>
  <c r="AK130" i="1" s="1"/>
  <c r="AH130" i="1"/>
  <c r="AO130" i="1" s="1"/>
  <c r="AI130" i="1"/>
  <c r="AJ130" i="1" s="1"/>
  <c r="AL130" i="1"/>
  <c r="AM130" i="1"/>
  <c r="AN130" i="1" s="1"/>
  <c r="AP130" i="1" s="1"/>
  <c r="AG131" i="1"/>
  <c r="AK131" i="1" s="1"/>
  <c r="AH131" i="1"/>
  <c r="AO131" i="1" s="1"/>
  <c r="AM131" i="1" s="1"/>
  <c r="AN131" i="1" s="1"/>
  <c r="AP131" i="1" s="1"/>
  <c r="AQ131" i="1"/>
  <c r="AG132" i="1"/>
  <c r="AH132" i="1"/>
  <c r="AO132" i="1" s="1"/>
  <c r="AM132" i="1" s="1"/>
  <c r="AN132" i="1" s="1"/>
  <c r="AI132" i="1"/>
  <c r="AJ132" i="1" s="1"/>
  <c r="AK132" i="1"/>
  <c r="AL132" i="1"/>
  <c r="AR132" i="1" s="1"/>
  <c r="AG133" i="1"/>
  <c r="AK133" i="1" s="1"/>
  <c r="AH133" i="1"/>
  <c r="AN133" i="1"/>
  <c r="AP133" i="1" s="1"/>
  <c r="AO133" i="1"/>
  <c r="AM133" i="1" s="1"/>
  <c r="AG134" i="1"/>
  <c r="AH134" i="1"/>
  <c r="AI134" i="1"/>
  <c r="AJ134" i="1" s="1"/>
  <c r="AL134" i="1" s="1"/>
  <c r="AK134" i="1"/>
  <c r="AO134" i="1"/>
  <c r="AM134" i="1" s="1"/>
  <c r="AN134" i="1" s="1"/>
  <c r="AP134" i="1"/>
  <c r="AG135" i="1"/>
  <c r="AH135" i="1"/>
  <c r="AK135" i="1"/>
  <c r="AM135" i="1"/>
  <c r="AN135" i="1"/>
  <c r="AP135" i="1" s="1"/>
  <c r="AO135" i="1"/>
  <c r="AG136" i="1"/>
  <c r="AK136" i="1" s="1"/>
  <c r="AH136" i="1"/>
  <c r="AO136" i="1"/>
  <c r="AM136" i="1" s="1"/>
  <c r="AN136" i="1" s="1"/>
  <c r="AP136" i="1" s="1"/>
  <c r="AG137" i="1"/>
  <c r="AK137" i="1" s="1"/>
  <c r="AH137" i="1"/>
  <c r="AO137" i="1"/>
  <c r="AM137" i="1" s="1"/>
  <c r="AN137" i="1" s="1"/>
  <c r="AP137" i="1" s="1"/>
  <c r="AG138" i="1"/>
  <c r="AH138" i="1"/>
  <c r="AO138" i="1" s="1"/>
  <c r="AM138" i="1" s="1"/>
  <c r="AN138" i="1" s="1"/>
  <c r="AP138" i="1" s="1"/>
  <c r="AI138" i="1"/>
  <c r="AJ138" i="1" s="1"/>
  <c r="AL138" i="1" s="1"/>
  <c r="AK138" i="1"/>
  <c r="AQ138" i="1" s="1"/>
  <c r="AG139" i="1"/>
  <c r="AH139" i="1"/>
  <c r="AK139" i="1"/>
  <c r="AM139" i="1"/>
  <c r="AN139" i="1" s="1"/>
  <c r="AP139" i="1" s="1"/>
  <c r="AO139" i="1"/>
  <c r="AG140" i="1"/>
  <c r="AK140" i="1" s="1"/>
  <c r="AH140" i="1"/>
  <c r="AO140" i="1" s="1"/>
  <c r="AM140" i="1" s="1"/>
  <c r="AN140" i="1" s="1"/>
  <c r="AP140" i="1"/>
  <c r="AG141" i="1"/>
  <c r="AK141" i="1" s="1"/>
  <c r="AH141" i="1"/>
  <c r="AN141" i="1"/>
  <c r="AP141" i="1" s="1"/>
  <c r="AO141" i="1"/>
  <c r="AM141" i="1" s="1"/>
  <c r="AQ141" i="1"/>
  <c r="AG142" i="1"/>
  <c r="AH142" i="1"/>
  <c r="AO142" i="1" s="1"/>
  <c r="AM142" i="1" s="1"/>
  <c r="AN142" i="1" s="1"/>
  <c r="AT142" i="1" s="1"/>
  <c r="AI142" i="1"/>
  <c r="AJ142" i="1" s="1"/>
  <c r="AK142" i="1"/>
  <c r="AL142" i="1"/>
  <c r="AQ142" i="1"/>
  <c r="AG143" i="1"/>
  <c r="AH143" i="1"/>
  <c r="AO143" i="1" s="1"/>
  <c r="AM143" i="1" s="1"/>
  <c r="AN143" i="1" s="1"/>
  <c r="AK143" i="1"/>
  <c r="AG144" i="1"/>
  <c r="AK144" i="1" s="1"/>
  <c r="AH144" i="1"/>
  <c r="AO144" i="1" s="1"/>
  <c r="AM144" i="1" s="1"/>
  <c r="AN144" i="1" s="1"/>
  <c r="AP144" i="1" s="1"/>
  <c r="AG145" i="1"/>
  <c r="AK145" i="1" s="1"/>
  <c r="AH145" i="1"/>
  <c r="AN145" i="1"/>
  <c r="AP145" i="1" s="1"/>
  <c r="AO145" i="1"/>
  <c r="AM145" i="1" s="1"/>
  <c r="AG146" i="1"/>
  <c r="AH146" i="1"/>
  <c r="AO146" i="1" s="1"/>
  <c r="AM146" i="1" s="1"/>
  <c r="AN146" i="1" s="1"/>
  <c r="AT146" i="1" s="1"/>
  <c r="AI146" i="1"/>
  <c r="AJ146" i="1" s="1"/>
  <c r="AK146" i="1"/>
  <c r="AL146" i="1"/>
  <c r="AG147" i="1"/>
  <c r="AH147" i="1"/>
  <c r="AO147" i="1" s="1"/>
  <c r="AM147" i="1" s="1"/>
  <c r="AN147" i="1" s="1"/>
  <c r="AK147" i="1"/>
  <c r="AG148" i="1"/>
  <c r="AK148" i="1" s="1"/>
  <c r="AH148" i="1"/>
  <c r="AO148" i="1" s="1"/>
  <c r="AM148" i="1" s="1"/>
  <c r="AN148" i="1" s="1"/>
  <c r="AP148" i="1" s="1"/>
  <c r="AG149" i="1"/>
  <c r="AK149" i="1" s="1"/>
  <c r="AH149" i="1"/>
  <c r="AN149" i="1"/>
  <c r="AP149" i="1" s="1"/>
  <c r="AO149" i="1"/>
  <c r="AM149" i="1" s="1"/>
  <c r="AQ149" i="1"/>
  <c r="AG150" i="1"/>
  <c r="AH150" i="1"/>
  <c r="AO150" i="1" s="1"/>
  <c r="AM150" i="1" s="1"/>
  <c r="AN150" i="1" s="1"/>
  <c r="AT150" i="1" s="1"/>
  <c r="AI150" i="1"/>
  <c r="AJ150" i="1" s="1"/>
  <c r="AK150" i="1"/>
  <c r="AL150" i="1"/>
  <c r="AQ150" i="1"/>
  <c r="AG151" i="1"/>
  <c r="AH151" i="1"/>
  <c r="AO151" i="1" s="1"/>
  <c r="AM151" i="1" s="1"/>
  <c r="AN151" i="1" s="1"/>
  <c r="AK151" i="1"/>
  <c r="AG152" i="1"/>
  <c r="AK152" i="1" s="1"/>
  <c r="AH152" i="1"/>
  <c r="AO152" i="1" s="1"/>
  <c r="AM152" i="1" s="1"/>
  <c r="AN152" i="1" s="1"/>
  <c r="AP152" i="1" s="1"/>
  <c r="AG153" i="1"/>
  <c r="AK153" i="1" s="1"/>
  <c r="AH153" i="1"/>
  <c r="AN153" i="1"/>
  <c r="AP153" i="1" s="1"/>
  <c r="AO153" i="1"/>
  <c r="AM153" i="1" s="1"/>
  <c r="AG154" i="1"/>
  <c r="AH154" i="1"/>
  <c r="AO154" i="1" s="1"/>
  <c r="AM154" i="1" s="1"/>
  <c r="AN154" i="1" s="1"/>
  <c r="AI154" i="1"/>
  <c r="AJ154" i="1" s="1"/>
  <c r="AK154" i="1"/>
  <c r="AL154" i="1"/>
  <c r="AG155" i="1"/>
  <c r="AH155" i="1"/>
  <c r="AO155" i="1" s="1"/>
  <c r="AM155" i="1" s="1"/>
  <c r="AN155" i="1" s="1"/>
  <c r="AK155" i="1"/>
  <c r="AG156" i="1"/>
  <c r="AK156" i="1" s="1"/>
  <c r="AH156" i="1"/>
  <c r="AO156" i="1" s="1"/>
  <c r="AM156" i="1" s="1"/>
  <c r="AN156" i="1" s="1"/>
  <c r="AP156" i="1" s="1"/>
  <c r="AG157" i="1"/>
  <c r="AK157" i="1" s="1"/>
  <c r="AH157" i="1"/>
  <c r="AN157" i="1"/>
  <c r="AP157" i="1" s="1"/>
  <c r="AO157" i="1"/>
  <c r="AM157" i="1" s="1"/>
  <c r="AQ157" i="1"/>
  <c r="AG158" i="1"/>
  <c r="AH158" i="1"/>
  <c r="AO158" i="1" s="1"/>
  <c r="AM158" i="1" s="1"/>
  <c r="AN158" i="1" s="1"/>
  <c r="AT158" i="1" s="1"/>
  <c r="AI158" i="1"/>
  <c r="AJ158" i="1" s="1"/>
  <c r="AK158" i="1"/>
  <c r="AL158" i="1"/>
  <c r="AQ158" i="1"/>
  <c r="AG159" i="1"/>
  <c r="AH159" i="1"/>
  <c r="AO159" i="1" s="1"/>
  <c r="AM159" i="1" s="1"/>
  <c r="AN159" i="1" s="1"/>
  <c r="AK159" i="1"/>
  <c r="AG160" i="1"/>
  <c r="AK160" i="1" s="1"/>
  <c r="AH160" i="1"/>
  <c r="AO160" i="1" s="1"/>
  <c r="AM160" i="1" s="1"/>
  <c r="AN160" i="1" s="1"/>
  <c r="AP160" i="1" s="1"/>
  <c r="AG161" i="1"/>
  <c r="AK161" i="1" s="1"/>
  <c r="AH161" i="1"/>
  <c r="AN161" i="1"/>
  <c r="AP161" i="1" s="1"/>
  <c r="AO161" i="1"/>
  <c r="AM161" i="1" s="1"/>
  <c r="AG162" i="1"/>
  <c r="AH162" i="1"/>
  <c r="AO162" i="1" s="1"/>
  <c r="AM162" i="1" s="1"/>
  <c r="AN162" i="1" s="1"/>
  <c r="AI162" i="1"/>
  <c r="AJ162" i="1" s="1"/>
  <c r="AK162" i="1"/>
  <c r="AL162" i="1"/>
  <c r="AG163" i="1"/>
  <c r="AH163" i="1"/>
  <c r="AO163" i="1" s="1"/>
  <c r="AM163" i="1" s="1"/>
  <c r="AN163" i="1" s="1"/>
  <c r="AK163" i="1"/>
  <c r="AG164" i="1"/>
  <c r="AK164" i="1" s="1"/>
  <c r="AH164" i="1"/>
  <c r="AO164" i="1" s="1"/>
  <c r="AM164" i="1" s="1"/>
  <c r="AN164" i="1" s="1"/>
  <c r="AP164" i="1" s="1"/>
  <c r="AG165" i="1"/>
  <c r="AK165" i="1" s="1"/>
  <c r="AH165" i="1"/>
  <c r="AN165" i="1"/>
  <c r="AP165" i="1" s="1"/>
  <c r="AO165" i="1"/>
  <c r="AM165" i="1" s="1"/>
  <c r="AQ165" i="1"/>
  <c r="AG166" i="1"/>
  <c r="AH166" i="1"/>
  <c r="AO166" i="1" s="1"/>
  <c r="AM166" i="1" s="1"/>
  <c r="AN166" i="1" s="1"/>
  <c r="AT166" i="1" s="1"/>
  <c r="AI166" i="1"/>
  <c r="AJ166" i="1" s="1"/>
  <c r="AK166" i="1"/>
  <c r="AL166" i="1"/>
  <c r="AQ166" i="1"/>
  <c r="AG167" i="1"/>
  <c r="AH167" i="1"/>
  <c r="AO167" i="1" s="1"/>
  <c r="AM167" i="1" s="1"/>
  <c r="AN167" i="1" s="1"/>
  <c r="AK167" i="1"/>
  <c r="AG168" i="1"/>
  <c r="AK168" i="1" s="1"/>
  <c r="AH168" i="1"/>
  <c r="AI168" i="1"/>
  <c r="AJ168" i="1" s="1"/>
  <c r="AL168" i="1"/>
  <c r="AO168" i="1"/>
  <c r="AM168" i="1" s="1"/>
  <c r="AG169" i="1"/>
  <c r="AH169" i="1"/>
  <c r="AK169" i="1"/>
  <c r="AO169" i="1"/>
  <c r="AM169" i="1" s="1"/>
  <c r="AN169" i="1" s="1"/>
  <c r="AP169" i="1" s="1"/>
  <c r="AG170" i="1"/>
  <c r="AH170" i="1"/>
  <c r="AO170" i="1" s="1"/>
  <c r="AK170" i="1"/>
  <c r="AM170" i="1"/>
  <c r="AN170" i="1" s="1"/>
  <c r="AP170" i="1" s="1"/>
  <c r="AG171" i="1"/>
  <c r="AK171" i="1" s="1"/>
  <c r="AH171" i="1"/>
  <c r="AM171" i="1"/>
  <c r="AN171" i="1"/>
  <c r="AP171" i="1" s="1"/>
  <c r="AO171" i="1"/>
  <c r="AG172" i="1"/>
  <c r="AK172" i="1" s="1"/>
  <c r="AS172" i="1" s="1"/>
  <c r="AH172" i="1"/>
  <c r="AI172" i="1"/>
  <c r="AJ172" i="1" s="1"/>
  <c r="AL172" i="1" s="1"/>
  <c r="AO172" i="1"/>
  <c r="AM172" i="1" s="1"/>
  <c r="AN172" i="1" s="1"/>
  <c r="AP172" i="1" s="1"/>
  <c r="AG173" i="1"/>
  <c r="AK173" i="1" s="1"/>
  <c r="AH173" i="1"/>
  <c r="AO173" i="1"/>
  <c r="AM173" i="1" s="1"/>
  <c r="AN173" i="1" s="1"/>
  <c r="AP173" i="1" s="1"/>
  <c r="AG174" i="1"/>
  <c r="AH174" i="1"/>
  <c r="AO174" i="1" s="1"/>
  <c r="AM174" i="1" s="1"/>
  <c r="AN174" i="1" s="1"/>
  <c r="AP174" i="1" s="1"/>
  <c r="AK174" i="1"/>
  <c r="AS174" i="1" s="1"/>
  <c r="AG175" i="1"/>
  <c r="AK175" i="1" s="1"/>
  <c r="AH175" i="1"/>
  <c r="AO175" i="1" s="1"/>
  <c r="AM175" i="1" s="1"/>
  <c r="AN175" i="1" s="1"/>
  <c r="AP175" i="1" s="1"/>
  <c r="AG176" i="1"/>
  <c r="AH176" i="1"/>
  <c r="AK176" i="1"/>
  <c r="AQ176" i="1" s="1"/>
  <c r="AO176" i="1"/>
  <c r="AM176" i="1" s="1"/>
  <c r="AN176" i="1" s="1"/>
  <c r="AP176" i="1" s="1"/>
  <c r="AG177" i="1"/>
  <c r="AH177" i="1"/>
  <c r="AK177" i="1"/>
  <c r="AM177" i="1"/>
  <c r="AN177" i="1" s="1"/>
  <c r="AP177" i="1" s="1"/>
  <c r="AO177" i="1"/>
  <c r="AG178" i="1"/>
  <c r="AK178" i="1" s="1"/>
  <c r="AH178" i="1"/>
  <c r="AO178" i="1" s="1"/>
  <c r="AM178" i="1" s="1"/>
  <c r="AN178" i="1" s="1"/>
  <c r="AP178" i="1" s="1"/>
  <c r="AG179" i="1"/>
  <c r="AK179" i="1" s="1"/>
  <c r="AI179" i="1" s="1"/>
  <c r="AJ179" i="1" s="1"/>
  <c r="AL179" i="1" s="1"/>
  <c r="AH179" i="1"/>
  <c r="AO179" i="1"/>
  <c r="AM179" i="1" s="1"/>
  <c r="AN179" i="1" s="1"/>
  <c r="AP179" i="1" s="1"/>
  <c r="AG180" i="1"/>
  <c r="AH180" i="1"/>
  <c r="AK180" i="1"/>
  <c r="AI180" i="1" s="1"/>
  <c r="AJ180" i="1" s="1"/>
  <c r="AL180" i="1" s="1"/>
  <c r="AO180" i="1"/>
  <c r="AM180" i="1" s="1"/>
  <c r="AN180" i="1" s="1"/>
  <c r="AP180" i="1" s="1"/>
  <c r="AG181" i="1"/>
  <c r="AH181" i="1"/>
  <c r="AK181" i="1"/>
  <c r="AM181" i="1"/>
  <c r="AN181" i="1"/>
  <c r="AP181" i="1" s="1"/>
  <c r="AO181" i="1"/>
  <c r="AG182" i="1"/>
  <c r="AK182" i="1" s="1"/>
  <c r="AH182" i="1"/>
  <c r="AO182" i="1" s="1"/>
  <c r="AM182" i="1" s="1"/>
  <c r="AN182" i="1" s="1"/>
  <c r="AP182" i="1" s="1"/>
  <c r="AG183" i="1"/>
  <c r="AK183" i="1" s="1"/>
  <c r="AS183" i="1" s="1"/>
  <c r="AH183" i="1"/>
  <c r="AO183" i="1"/>
  <c r="AM183" i="1" s="1"/>
  <c r="AN183" i="1" s="1"/>
  <c r="AP183" i="1" s="1"/>
  <c r="AG184" i="1"/>
  <c r="AH184" i="1"/>
  <c r="AK184" i="1"/>
  <c r="AQ184" i="1" s="1"/>
  <c r="AO184" i="1"/>
  <c r="AM184" i="1" s="1"/>
  <c r="AN184" i="1" s="1"/>
  <c r="AP184" i="1" s="1"/>
  <c r="AG185" i="1"/>
  <c r="AH185" i="1"/>
  <c r="AK185" i="1"/>
  <c r="AM185" i="1"/>
  <c r="AN185" i="1" s="1"/>
  <c r="AP185" i="1" s="1"/>
  <c r="AO185" i="1"/>
  <c r="AG186" i="1"/>
  <c r="AK186" i="1" s="1"/>
  <c r="AH186" i="1"/>
  <c r="AO186" i="1" s="1"/>
  <c r="AM186" i="1" s="1"/>
  <c r="AN186" i="1" s="1"/>
  <c r="AP186" i="1" s="1"/>
  <c r="AG187" i="1"/>
  <c r="AK187" i="1" s="1"/>
  <c r="AI187" i="1" s="1"/>
  <c r="AJ187" i="1" s="1"/>
  <c r="AL187" i="1" s="1"/>
  <c r="AH187" i="1"/>
  <c r="AO187" i="1"/>
  <c r="AM187" i="1" s="1"/>
  <c r="AN187" i="1" s="1"/>
  <c r="AP187" i="1" s="1"/>
  <c r="AG188" i="1"/>
  <c r="AH188" i="1"/>
  <c r="AK188" i="1"/>
  <c r="AI188" i="1" s="1"/>
  <c r="AJ188" i="1" s="1"/>
  <c r="AL188" i="1" s="1"/>
  <c r="AO188" i="1"/>
  <c r="AM188" i="1" s="1"/>
  <c r="AN188" i="1" s="1"/>
  <c r="AP188" i="1" s="1"/>
  <c r="AG189" i="1"/>
  <c r="AH189" i="1"/>
  <c r="AK189" i="1"/>
  <c r="AM189" i="1"/>
  <c r="AN189" i="1"/>
  <c r="AP189" i="1" s="1"/>
  <c r="AO189" i="1"/>
  <c r="AG190" i="1"/>
  <c r="AK190" i="1" s="1"/>
  <c r="AH190" i="1"/>
  <c r="AO190" i="1" s="1"/>
  <c r="AM190" i="1" s="1"/>
  <c r="AN190" i="1" s="1"/>
  <c r="AP190" i="1" s="1"/>
  <c r="AG191" i="1"/>
  <c r="AK191" i="1" s="1"/>
  <c r="AS191" i="1" s="1"/>
  <c r="AH191" i="1"/>
  <c r="AO191" i="1"/>
  <c r="AM191" i="1" s="1"/>
  <c r="AN191" i="1" s="1"/>
  <c r="AP191" i="1" s="1"/>
  <c r="AG192" i="1"/>
  <c r="AH192" i="1"/>
  <c r="AK192" i="1"/>
  <c r="AQ192" i="1" s="1"/>
  <c r="AO192" i="1"/>
  <c r="AM192" i="1" s="1"/>
  <c r="AN192" i="1" s="1"/>
  <c r="AP192" i="1" s="1"/>
  <c r="AG193" i="1"/>
  <c r="AH193" i="1"/>
  <c r="AK193" i="1"/>
  <c r="AM193" i="1"/>
  <c r="AN193" i="1" s="1"/>
  <c r="AP193" i="1" s="1"/>
  <c r="AO193" i="1"/>
  <c r="AG194" i="1"/>
  <c r="AK194" i="1" s="1"/>
  <c r="AH194" i="1"/>
  <c r="AO194" i="1" s="1"/>
  <c r="AM194" i="1" s="1"/>
  <c r="AN194" i="1" s="1"/>
  <c r="AP194" i="1" s="1"/>
  <c r="AG195" i="1"/>
  <c r="AK195" i="1" s="1"/>
  <c r="AI195" i="1" s="1"/>
  <c r="AJ195" i="1" s="1"/>
  <c r="AL195" i="1" s="1"/>
  <c r="AH195" i="1"/>
  <c r="AO195" i="1"/>
  <c r="AM195" i="1" s="1"/>
  <c r="AN195" i="1" s="1"/>
  <c r="AP195" i="1" s="1"/>
  <c r="AG196" i="1"/>
  <c r="AH196" i="1"/>
  <c r="AK196" i="1"/>
  <c r="AI196" i="1" s="1"/>
  <c r="AJ196" i="1" s="1"/>
  <c r="AL196" i="1" s="1"/>
  <c r="AO196" i="1"/>
  <c r="AM196" i="1" s="1"/>
  <c r="AN196" i="1" s="1"/>
  <c r="AP196" i="1" s="1"/>
  <c r="AG197" i="1"/>
  <c r="AH197" i="1"/>
  <c r="AK197" i="1"/>
  <c r="AM197" i="1"/>
  <c r="AN197" i="1"/>
  <c r="AP197" i="1" s="1"/>
  <c r="AO197" i="1"/>
  <c r="AG198" i="1"/>
  <c r="AK198" i="1" s="1"/>
  <c r="AH198" i="1"/>
  <c r="AO198" i="1" s="1"/>
  <c r="AM198" i="1" s="1"/>
  <c r="AN198" i="1" s="1"/>
  <c r="AP198" i="1" s="1"/>
  <c r="AG199" i="1"/>
  <c r="AK199" i="1" s="1"/>
  <c r="AS199" i="1" s="1"/>
  <c r="AH199" i="1"/>
  <c r="AO199" i="1"/>
  <c r="AM199" i="1" s="1"/>
  <c r="AN199" i="1" s="1"/>
  <c r="AP199" i="1" s="1"/>
  <c r="AG200" i="1"/>
  <c r="AH200" i="1"/>
  <c r="AK200" i="1"/>
  <c r="AQ200" i="1" s="1"/>
  <c r="AO200" i="1"/>
  <c r="AM200" i="1" s="1"/>
  <c r="AN200" i="1" s="1"/>
  <c r="AP200" i="1" s="1"/>
  <c r="AV52" i="1"/>
  <c r="AW52" i="1"/>
  <c r="AZ52" i="1"/>
  <c r="BB52" i="1"/>
  <c r="BC52" i="1"/>
  <c r="BE52" i="1" s="1"/>
  <c r="BD52" i="1"/>
  <c r="AV53" i="1"/>
  <c r="AZ53" i="1" s="1"/>
  <c r="AX53" i="1" s="1"/>
  <c r="AY53" i="1" s="1"/>
  <c r="BA53" i="1" s="1"/>
  <c r="AW53" i="1"/>
  <c r="BD53" i="1"/>
  <c r="BB53" i="1" s="1"/>
  <c r="BC53" i="1" s="1"/>
  <c r="BE53" i="1" s="1"/>
  <c r="AV54" i="1"/>
  <c r="AW54" i="1"/>
  <c r="AX54" i="1"/>
  <c r="AY54" i="1"/>
  <c r="BA54" i="1" s="1"/>
  <c r="BI54" i="1" s="1"/>
  <c r="AZ54" i="1"/>
  <c r="BB54" i="1"/>
  <c r="BC54" i="1"/>
  <c r="BE54" i="1" s="1"/>
  <c r="BD54" i="1"/>
  <c r="BF54" i="1"/>
  <c r="BH54" i="1"/>
  <c r="AV55" i="1"/>
  <c r="AW55" i="1"/>
  <c r="AZ55" i="1"/>
  <c r="AX55" i="1" s="1"/>
  <c r="AY55" i="1" s="1"/>
  <c r="BA55" i="1" s="1"/>
  <c r="BB55" i="1"/>
  <c r="BC55" i="1"/>
  <c r="BD55" i="1"/>
  <c r="BE55" i="1"/>
  <c r="BF55" i="1"/>
  <c r="AV56" i="1"/>
  <c r="AW56" i="1"/>
  <c r="AZ56" i="1"/>
  <c r="BB56" i="1"/>
  <c r="BC56" i="1"/>
  <c r="BE56" i="1" s="1"/>
  <c r="BD56" i="1"/>
  <c r="AV57" i="1"/>
  <c r="AZ57" i="1" s="1"/>
  <c r="AW57" i="1"/>
  <c r="AX57" i="1"/>
  <c r="AY57" i="1" s="1"/>
  <c r="BA57" i="1"/>
  <c r="BB57" i="1"/>
  <c r="BC57" i="1" s="1"/>
  <c r="BE57" i="1" s="1"/>
  <c r="BD57" i="1"/>
  <c r="AV58" i="1"/>
  <c r="AW58" i="1"/>
  <c r="AX58" i="1"/>
  <c r="AY58" i="1"/>
  <c r="BA58" i="1" s="1"/>
  <c r="AZ58" i="1"/>
  <c r="BB58" i="1"/>
  <c r="BC58" i="1"/>
  <c r="BE58" i="1" s="1"/>
  <c r="BD58" i="1"/>
  <c r="BF58" i="1"/>
  <c r="BH58" i="1"/>
  <c r="AV59" i="1"/>
  <c r="AW59" i="1"/>
  <c r="AZ59" i="1"/>
  <c r="AX59" i="1" s="1"/>
  <c r="AY59" i="1" s="1"/>
  <c r="BA59" i="1" s="1"/>
  <c r="BB59" i="1"/>
  <c r="BC59" i="1"/>
  <c r="BD59" i="1"/>
  <c r="BE59" i="1"/>
  <c r="BF59" i="1"/>
  <c r="AV60" i="1"/>
  <c r="AW60" i="1"/>
  <c r="AZ60" i="1"/>
  <c r="BB60" i="1"/>
  <c r="BC60" i="1" s="1"/>
  <c r="BE60" i="1" s="1"/>
  <c r="BD60" i="1"/>
  <c r="AV61" i="1"/>
  <c r="AZ61" i="1" s="1"/>
  <c r="AW61" i="1"/>
  <c r="AX61" i="1"/>
  <c r="AY61" i="1" s="1"/>
  <c r="BA61" i="1"/>
  <c r="BB61" i="1"/>
  <c r="BC61" i="1" s="1"/>
  <c r="BE61" i="1" s="1"/>
  <c r="BD61" i="1"/>
  <c r="AV62" i="1"/>
  <c r="AZ62" i="1" s="1"/>
  <c r="AW62" i="1"/>
  <c r="AX62" i="1"/>
  <c r="AY62" i="1" s="1"/>
  <c r="BA62" i="1" s="1"/>
  <c r="BD62" i="1"/>
  <c r="BB62" i="1" s="1"/>
  <c r="BC62" i="1" s="1"/>
  <c r="BE62" i="1" s="1"/>
  <c r="AV63" i="1"/>
  <c r="AW63" i="1"/>
  <c r="AX63" i="1"/>
  <c r="AY63" i="1" s="1"/>
  <c r="AZ63" i="1"/>
  <c r="BA63" i="1"/>
  <c r="BG63" i="1" s="1"/>
  <c r="BB63" i="1"/>
  <c r="BC63" i="1" s="1"/>
  <c r="BD63" i="1"/>
  <c r="BE63" i="1"/>
  <c r="BF63" i="1"/>
  <c r="BH63" i="1"/>
  <c r="AV64" i="1"/>
  <c r="AW64" i="1"/>
  <c r="AZ64" i="1"/>
  <c r="BB64" i="1"/>
  <c r="BC64" i="1"/>
  <c r="BE64" i="1" s="1"/>
  <c r="BD64" i="1"/>
  <c r="AV65" i="1"/>
  <c r="AZ65" i="1" s="1"/>
  <c r="AX65" i="1" s="1"/>
  <c r="AY65" i="1" s="1"/>
  <c r="BA65" i="1" s="1"/>
  <c r="AW65" i="1"/>
  <c r="BB65" i="1"/>
  <c r="BC65" i="1" s="1"/>
  <c r="BE65" i="1" s="1"/>
  <c r="BD65" i="1"/>
  <c r="AV66" i="1"/>
  <c r="AW66" i="1"/>
  <c r="AX66" i="1"/>
  <c r="AY66" i="1"/>
  <c r="BA66" i="1" s="1"/>
  <c r="AZ66" i="1"/>
  <c r="BF66" i="1" s="1"/>
  <c r="BD66" i="1"/>
  <c r="BB66" i="1" s="1"/>
  <c r="BC66" i="1" s="1"/>
  <c r="BE66" i="1" s="1"/>
  <c r="AV67" i="1"/>
  <c r="AW67" i="1"/>
  <c r="AX67" i="1"/>
  <c r="AY67" i="1" s="1"/>
  <c r="BA67" i="1" s="1"/>
  <c r="AZ67" i="1"/>
  <c r="BB67" i="1"/>
  <c r="BC67" i="1" s="1"/>
  <c r="BE67" i="1" s="1"/>
  <c r="BD67" i="1"/>
  <c r="BF67" i="1"/>
  <c r="BH67" i="1"/>
  <c r="AV68" i="1"/>
  <c r="AW68" i="1"/>
  <c r="AZ68" i="1"/>
  <c r="BB68" i="1"/>
  <c r="BC68" i="1"/>
  <c r="BE68" i="1" s="1"/>
  <c r="BD68" i="1"/>
  <c r="AV69" i="1"/>
  <c r="AZ69" i="1" s="1"/>
  <c r="AX69" i="1" s="1"/>
  <c r="AY69" i="1" s="1"/>
  <c r="BA69" i="1" s="1"/>
  <c r="AW69" i="1"/>
  <c r="BD69" i="1"/>
  <c r="BB69" i="1" s="1"/>
  <c r="BC69" i="1" s="1"/>
  <c r="BE69" i="1" s="1"/>
  <c r="AV70" i="1"/>
  <c r="AZ70" i="1" s="1"/>
  <c r="AW70" i="1"/>
  <c r="BC70" i="1"/>
  <c r="BE70" i="1" s="1"/>
  <c r="BD70" i="1"/>
  <c r="BB70" i="1" s="1"/>
  <c r="AV71" i="1"/>
  <c r="AW71" i="1"/>
  <c r="AZ71" i="1"/>
  <c r="BF71" i="1" s="1"/>
  <c r="BB71" i="1"/>
  <c r="BC71" i="1" s="1"/>
  <c r="BE71" i="1" s="1"/>
  <c r="BD71" i="1"/>
  <c r="AV72" i="1"/>
  <c r="AZ72" i="1" s="1"/>
  <c r="AW72" i="1"/>
  <c r="BD72" i="1"/>
  <c r="BB72" i="1" s="1"/>
  <c r="BC72" i="1" s="1"/>
  <c r="AV73" i="1"/>
  <c r="AZ73" i="1" s="1"/>
  <c r="AX73" i="1" s="1"/>
  <c r="AY73" i="1" s="1"/>
  <c r="BA73" i="1" s="1"/>
  <c r="AW73" i="1"/>
  <c r="BD73" i="1"/>
  <c r="BB73" i="1" s="1"/>
  <c r="AV74" i="1"/>
  <c r="AZ74" i="1" s="1"/>
  <c r="AW74" i="1"/>
  <c r="BC74" i="1"/>
  <c r="BE74" i="1" s="1"/>
  <c r="BD74" i="1"/>
  <c r="BB74" i="1" s="1"/>
  <c r="AV75" i="1"/>
  <c r="AW75" i="1"/>
  <c r="AX75" i="1"/>
  <c r="AY75" i="1" s="1"/>
  <c r="BA75" i="1" s="1"/>
  <c r="BG75" i="1" s="1"/>
  <c r="AZ75" i="1"/>
  <c r="BB75" i="1"/>
  <c r="BC75" i="1" s="1"/>
  <c r="BD75" i="1"/>
  <c r="BE75" i="1"/>
  <c r="BI75" i="1"/>
  <c r="AV76" i="1"/>
  <c r="AZ76" i="1" s="1"/>
  <c r="AW76" i="1"/>
  <c r="BD76" i="1"/>
  <c r="BB76" i="1" s="1"/>
  <c r="BC76" i="1" s="1"/>
  <c r="BE76" i="1" s="1"/>
  <c r="AV77" i="1"/>
  <c r="AZ77" i="1" s="1"/>
  <c r="AW77" i="1"/>
  <c r="BB77" i="1"/>
  <c r="BC77" i="1" s="1"/>
  <c r="BE77" i="1" s="1"/>
  <c r="BD77" i="1"/>
  <c r="AV78" i="1"/>
  <c r="AZ78" i="1" s="1"/>
  <c r="AW78" i="1"/>
  <c r="BB78" i="1"/>
  <c r="BC78" i="1" s="1"/>
  <c r="BE78" i="1" s="1"/>
  <c r="BD78" i="1"/>
  <c r="AV79" i="1"/>
  <c r="AZ79" i="1" s="1"/>
  <c r="AW79" i="1"/>
  <c r="BD79" i="1"/>
  <c r="BB79" i="1" s="1"/>
  <c r="BC79" i="1" s="1"/>
  <c r="BE79" i="1" s="1"/>
  <c r="AV80" i="1"/>
  <c r="AW80" i="1"/>
  <c r="AZ80" i="1"/>
  <c r="BD80" i="1"/>
  <c r="BB80" i="1" s="1"/>
  <c r="BC80" i="1" s="1"/>
  <c r="BE80" i="1" s="1"/>
  <c r="AV81" i="1"/>
  <c r="AZ81" i="1" s="1"/>
  <c r="AW81" i="1"/>
  <c r="BD81" i="1"/>
  <c r="BB81" i="1" s="1"/>
  <c r="BC81" i="1" s="1"/>
  <c r="BE81" i="1" s="1"/>
  <c r="AV82" i="1"/>
  <c r="AZ82" i="1" s="1"/>
  <c r="AW82" i="1"/>
  <c r="BB82" i="1"/>
  <c r="BC82" i="1"/>
  <c r="BE82" i="1" s="1"/>
  <c r="BD82" i="1"/>
  <c r="AV83" i="1"/>
  <c r="AZ83" i="1" s="1"/>
  <c r="AW83" i="1"/>
  <c r="BD83" i="1"/>
  <c r="BB83" i="1" s="1"/>
  <c r="BC83" i="1" s="1"/>
  <c r="BE83" i="1" s="1"/>
  <c r="AV84" i="1"/>
  <c r="AZ84" i="1" s="1"/>
  <c r="AW84" i="1"/>
  <c r="BD84" i="1"/>
  <c r="BB84" i="1" s="1"/>
  <c r="BC84" i="1" s="1"/>
  <c r="BE84" i="1" s="1"/>
  <c r="AV85" i="1"/>
  <c r="AZ85" i="1" s="1"/>
  <c r="AW85" i="1"/>
  <c r="BB85" i="1"/>
  <c r="BC85" i="1" s="1"/>
  <c r="BE85" i="1" s="1"/>
  <c r="BD85" i="1"/>
  <c r="AV86" i="1"/>
  <c r="AW86" i="1"/>
  <c r="AZ86" i="1"/>
  <c r="BB86" i="1"/>
  <c r="BC86" i="1" s="1"/>
  <c r="BE86" i="1" s="1"/>
  <c r="BD86" i="1"/>
  <c r="AV87" i="1"/>
  <c r="AZ87" i="1" s="1"/>
  <c r="AW87" i="1"/>
  <c r="BD87" i="1"/>
  <c r="BB87" i="1" s="1"/>
  <c r="BC87" i="1" s="1"/>
  <c r="BE87" i="1" s="1"/>
  <c r="AV88" i="1"/>
  <c r="AZ88" i="1" s="1"/>
  <c r="AW88" i="1"/>
  <c r="BD88" i="1"/>
  <c r="BB88" i="1" s="1"/>
  <c r="BC88" i="1" s="1"/>
  <c r="BE88" i="1" s="1"/>
  <c r="AV89" i="1"/>
  <c r="AZ89" i="1" s="1"/>
  <c r="AX89" i="1" s="1"/>
  <c r="AY89" i="1" s="1"/>
  <c r="BA89" i="1" s="1"/>
  <c r="AW89" i="1"/>
  <c r="BD89" i="1"/>
  <c r="BB89" i="1" s="1"/>
  <c r="BC89" i="1" s="1"/>
  <c r="BE89" i="1" s="1"/>
  <c r="BF89" i="1"/>
  <c r="BH89" i="1"/>
  <c r="AV90" i="1"/>
  <c r="AZ90" i="1" s="1"/>
  <c r="AW90" i="1"/>
  <c r="BB90" i="1"/>
  <c r="BC90" i="1" s="1"/>
  <c r="BE90" i="1" s="1"/>
  <c r="BD90" i="1"/>
  <c r="AV91" i="1"/>
  <c r="AZ91" i="1" s="1"/>
  <c r="AW91" i="1"/>
  <c r="BD91" i="1"/>
  <c r="BB91" i="1" s="1"/>
  <c r="BC91" i="1" s="1"/>
  <c r="BE91" i="1" s="1"/>
  <c r="AV92" i="1"/>
  <c r="AZ92" i="1" s="1"/>
  <c r="BF92" i="1" s="1"/>
  <c r="AW92" i="1"/>
  <c r="BD92" i="1"/>
  <c r="BB92" i="1" s="1"/>
  <c r="BC92" i="1" s="1"/>
  <c r="BE92" i="1" s="1"/>
  <c r="AV93" i="1"/>
  <c r="AZ93" i="1" s="1"/>
  <c r="AW93" i="1"/>
  <c r="BB93" i="1"/>
  <c r="BC93" i="1" s="1"/>
  <c r="BE93" i="1" s="1"/>
  <c r="BD93" i="1"/>
  <c r="AV94" i="1"/>
  <c r="AZ94" i="1" s="1"/>
  <c r="BF94" i="1" s="1"/>
  <c r="AW94" i="1"/>
  <c r="AX94" i="1"/>
  <c r="AY94" i="1" s="1"/>
  <c r="BA94" i="1" s="1"/>
  <c r="BB94" i="1"/>
  <c r="BC94" i="1" s="1"/>
  <c r="BD94" i="1"/>
  <c r="AV95" i="1"/>
  <c r="AZ95" i="1" s="1"/>
  <c r="AW95" i="1"/>
  <c r="BD95" i="1"/>
  <c r="BB95" i="1" s="1"/>
  <c r="BC95" i="1" s="1"/>
  <c r="BE95" i="1" s="1"/>
  <c r="AV96" i="1"/>
  <c r="AZ96" i="1" s="1"/>
  <c r="AW96" i="1"/>
  <c r="BD96" i="1"/>
  <c r="BB96" i="1" s="1"/>
  <c r="BC96" i="1" s="1"/>
  <c r="BE96" i="1" s="1"/>
  <c r="AV97" i="1"/>
  <c r="AZ97" i="1" s="1"/>
  <c r="AX97" i="1" s="1"/>
  <c r="AY97" i="1" s="1"/>
  <c r="BA97" i="1" s="1"/>
  <c r="AW97" i="1"/>
  <c r="BD97" i="1"/>
  <c r="BB97" i="1" s="1"/>
  <c r="BC97" i="1" s="1"/>
  <c r="BE97" i="1" s="1"/>
  <c r="AV98" i="1"/>
  <c r="AZ98" i="1" s="1"/>
  <c r="AW98" i="1"/>
  <c r="BB98" i="1"/>
  <c r="BC98" i="1" s="1"/>
  <c r="BE98" i="1" s="1"/>
  <c r="BD98" i="1"/>
  <c r="AV99" i="1"/>
  <c r="AW99" i="1"/>
  <c r="AZ99" i="1"/>
  <c r="AX99" i="1" s="1"/>
  <c r="AY99" i="1" s="1"/>
  <c r="BA99" i="1" s="1"/>
  <c r="BG99" i="1" s="1"/>
  <c r="BD99" i="1"/>
  <c r="BB99" i="1" s="1"/>
  <c r="BC99" i="1" s="1"/>
  <c r="BE99" i="1" s="1"/>
  <c r="AV100" i="1"/>
  <c r="AZ100" i="1" s="1"/>
  <c r="BF100" i="1" s="1"/>
  <c r="AW100" i="1"/>
  <c r="BD100" i="1"/>
  <c r="BB100" i="1" s="1"/>
  <c r="BC100" i="1" s="1"/>
  <c r="BE100" i="1" s="1"/>
  <c r="AV101" i="1"/>
  <c r="AZ101" i="1" s="1"/>
  <c r="AW101" i="1"/>
  <c r="BB101" i="1"/>
  <c r="BC101" i="1" s="1"/>
  <c r="BE101" i="1" s="1"/>
  <c r="BD101" i="1"/>
  <c r="AV102" i="1"/>
  <c r="AZ102" i="1" s="1"/>
  <c r="BF102" i="1" s="1"/>
  <c r="AW102" i="1"/>
  <c r="BD102" i="1"/>
  <c r="BB102" i="1" s="1"/>
  <c r="BC102" i="1" s="1"/>
  <c r="BE102" i="1" s="1"/>
  <c r="AV103" i="1"/>
  <c r="AW103" i="1"/>
  <c r="AZ103" i="1"/>
  <c r="BD103" i="1"/>
  <c r="BB103" i="1" s="1"/>
  <c r="BC103" i="1" s="1"/>
  <c r="BE103" i="1" s="1"/>
  <c r="AV104" i="1"/>
  <c r="AZ104" i="1" s="1"/>
  <c r="AW104" i="1"/>
  <c r="BD104" i="1"/>
  <c r="BB104" i="1" s="1"/>
  <c r="BC104" i="1" s="1"/>
  <c r="BE104" i="1" s="1"/>
  <c r="AV105" i="1"/>
  <c r="AZ105" i="1" s="1"/>
  <c r="BH105" i="1" s="1"/>
  <c r="AW105" i="1"/>
  <c r="BD105" i="1"/>
  <c r="BB105" i="1" s="1"/>
  <c r="BC105" i="1" s="1"/>
  <c r="BE105" i="1" s="1"/>
  <c r="AV106" i="1"/>
  <c r="AZ106" i="1" s="1"/>
  <c r="AX106" i="1" s="1"/>
  <c r="AY106" i="1" s="1"/>
  <c r="BA106" i="1" s="1"/>
  <c r="BG106" i="1" s="1"/>
  <c r="AW106" i="1"/>
  <c r="BB106" i="1"/>
  <c r="BC106" i="1"/>
  <c r="BE106" i="1" s="1"/>
  <c r="BD106" i="1"/>
  <c r="AV107" i="1"/>
  <c r="AZ107" i="1" s="1"/>
  <c r="BF107" i="1" s="1"/>
  <c r="AW107" i="1"/>
  <c r="AX107" i="1"/>
  <c r="AY107" i="1" s="1"/>
  <c r="BA107" i="1" s="1"/>
  <c r="BB107" i="1"/>
  <c r="BC107" i="1" s="1"/>
  <c r="BE107" i="1" s="1"/>
  <c r="BD107" i="1"/>
  <c r="BH107" i="1"/>
  <c r="AV108" i="1"/>
  <c r="AZ108" i="1" s="1"/>
  <c r="AW108" i="1"/>
  <c r="BB108" i="1"/>
  <c r="BC108" i="1" s="1"/>
  <c r="BE108" i="1" s="1"/>
  <c r="BD108" i="1"/>
  <c r="AV109" i="1"/>
  <c r="AZ109" i="1" s="1"/>
  <c r="AX109" i="1" s="1"/>
  <c r="AY109" i="1" s="1"/>
  <c r="BA109" i="1" s="1"/>
  <c r="AW109" i="1"/>
  <c r="BD109" i="1"/>
  <c r="BB109" i="1" s="1"/>
  <c r="BC109" i="1" s="1"/>
  <c r="BE109" i="1" s="1"/>
  <c r="BF109" i="1"/>
  <c r="AV110" i="1"/>
  <c r="AZ110" i="1" s="1"/>
  <c r="AW110" i="1"/>
  <c r="BB110" i="1"/>
  <c r="BC110" i="1" s="1"/>
  <c r="BE110" i="1" s="1"/>
  <c r="BD110" i="1"/>
  <c r="AV111" i="1"/>
  <c r="AZ111" i="1" s="1"/>
  <c r="AW111" i="1"/>
  <c r="BD111" i="1"/>
  <c r="BB111" i="1" s="1"/>
  <c r="BC111" i="1" s="1"/>
  <c r="AV112" i="1"/>
  <c r="AZ112" i="1" s="1"/>
  <c r="AW112" i="1"/>
  <c r="AX112" i="1"/>
  <c r="AY112" i="1" s="1"/>
  <c r="BA112" i="1" s="1"/>
  <c r="BD112" i="1"/>
  <c r="BB112" i="1" s="1"/>
  <c r="BC112" i="1" s="1"/>
  <c r="BE112" i="1" s="1"/>
  <c r="AV113" i="1"/>
  <c r="AZ113" i="1" s="1"/>
  <c r="AX113" i="1" s="1"/>
  <c r="AY113" i="1" s="1"/>
  <c r="BA113" i="1" s="1"/>
  <c r="AW113" i="1"/>
  <c r="BD113" i="1" s="1"/>
  <c r="BB113" i="1" s="1"/>
  <c r="AV114" i="1"/>
  <c r="AZ114" i="1" s="1"/>
  <c r="AW114" i="1"/>
  <c r="BB114" i="1"/>
  <c r="BD114" i="1"/>
  <c r="AV115" i="1"/>
  <c r="AW115" i="1"/>
  <c r="AZ115" i="1"/>
  <c r="BB115" i="1"/>
  <c r="BC115" i="1" s="1"/>
  <c r="BE115" i="1" s="1"/>
  <c r="BD115" i="1"/>
  <c r="AV116" i="1"/>
  <c r="AZ116" i="1" s="1"/>
  <c r="BF116" i="1" s="1"/>
  <c r="AW116" i="1"/>
  <c r="BB116" i="1"/>
  <c r="BC116" i="1" s="1"/>
  <c r="BE116" i="1" s="1"/>
  <c r="BD116" i="1"/>
  <c r="AV117" i="1"/>
  <c r="AZ117" i="1" s="1"/>
  <c r="AW117" i="1"/>
  <c r="BD117" i="1" s="1"/>
  <c r="BB117" i="1" s="1"/>
  <c r="BC117" i="1" s="1"/>
  <c r="BE117" i="1" s="1"/>
  <c r="AV118" i="1"/>
  <c r="AZ118" i="1" s="1"/>
  <c r="AW118" i="1"/>
  <c r="AX118" i="1"/>
  <c r="AY118" i="1" s="1"/>
  <c r="BA118" i="1" s="1"/>
  <c r="BB118" i="1"/>
  <c r="BC118" i="1" s="1"/>
  <c r="BE118" i="1" s="1"/>
  <c r="BD118" i="1"/>
  <c r="AV119" i="1"/>
  <c r="AW119" i="1"/>
  <c r="AZ119" i="1"/>
  <c r="BB119" i="1"/>
  <c r="BC119" i="1" s="1"/>
  <c r="BE119" i="1" s="1"/>
  <c r="BD119" i="1"/>
  <c r="AV120" i="1"/>
  <c r="AW120" i="1"/>
  <c r="AZ120" i="1"/>
  <c r="BB120" i="1"/>
  <c r="BC120" i="1"/>
  <c r="BE120" i="1" s="1"/>
  <c r="BD120" i="1"/>
  <c r="AV121" i="1"/>
  <c r="AW121" i="1"/>
  <c r="AZ121" i="1"/>
  <c r="BH121" i="1" s="1"/>
  <c r="BD121" i="1"/>
  <c r="BB121" i="1" s="1"/>
  <c r="BC121" i="1" s="1"/>
  <c r="BE121" i="1" s="1"/>
  <c r="AV122" i="1"/>
  <c r="AZ122" i="1" s="1"/>
  <c r="BF122" i="1" s="1"/>
  <c r="AW122" i="1"/>
  <c r="BB122" i="1"/>
  <c r="BC122" i="1" s="1"/>
  <c r="BE122" i="1" s="1"/>
  <c r="BD122" i="1"/>
  <c r="AV123" i="1"/>
  <c r="AZ123" i="1" s="1"/>
  <c r="AW123" i="1"/>
  <c r="BB123" i="1"/>
  <c r="BC123" i="1" s="1"/>
  <c r="BE123" i="1" s="1"/>
  <c r="BD123" i="1"/>
  <c r="AV124" i="1"/>
  <c r="AW124" i="1"/>
  <c r="AZ124" i="1"/>
  <c r="AX124" i="1" s="1"/>
  <c r="AY124" i="1" s="1"/>
  <c r="BA124" i="1" s="1"/>
  <c r="BB124" i="1"/>
  <c r="BC124" i="1"/>
  <c r="BE124" i="1" s="1"/>
  <c r="BD124" i="1"/>
  <c r="AV125" i="1"/>
  <c r="AZ125" i="1" s="1"/>
  <c r="AW125" i="1"/>
  <c r="BD125" i="1" s="1"/>
  <c r="AX125" i="1"/>
  <c r="AY125" i="1" s="1"/>
  <c r="BA125" i="1" s="1"/>
  <c r="BB125" i="1"/>
  <c r="BC125" i="1" s="1"/>
  <c r="BH125" i="1" s="1"/>
  <c r="BE125" i="1"/>
  <c r="AV126" i="1"/>
  <c r="AW126" i="1"/>
  <c r="AZ126" i="1"/>
  <c r="BB126" i="1"/>
  <c r="BC126" i="1" s="1"/>
  <c r="BE126" i="1" s="1"/>
  <c r="BD126" i="1"/>
  <c r="AV127" i="1"/>
  <c r="AZ127" i="1" s="1"/>
  <c r="AW127" i="1"/>
  <c r="BD127" i="1" s="1"/>
  <c r="BB127" i="1" s="1"/>
  <c r="BC127" i="1" s="1"/>
  <c r="BE127" i="1" s="1"/>
  <c r="AV128" i="1"/>
  <c r="AZ128" i="1" s="1"/>
  <c r="AW128" i="1"/>
  <c r="BD128" i="1" s="1"/>
  <c r="BB128" i="1" s="1"/>
  <c r="BC128" i="1" s="1"/>
  <c r="BE128" i="1" s="1"/>
  <c r="AV129" i="1"/>
  <c r="AW129" i="1"/>
  <c r="BD129" i="1" s="1"/>
  <c r="BB129" i="1" s="1"/>
  <c r="BC129" i="1" s="1"/>
  <c r="BE129" i="1" s="1"/>
  <c r="AZ129" i="1"/>
  <c r="BH129" i="1" s="1"/>
  <c r="AV130" i="1"/>
  <c r="AZ130" i="1" s="1"/>
  <c r="AW130" i="1"/>
  <c r="BD130" i="1" s="1"/>
  <c r="BB130" i="1" s="1"/>
  <c r="BC130" i="1" s="1"/>
  <c r="BE130" i="1" s="1"/>
  <c r="AX130" i="1"/>
  <c r="AY130" i="1" s="1"/>
  <c r="BA130" i="1" s="1"/>
  <c r="AV131" i="1"/>
  <c r="AZ131" i="1" s="1"/>
  <c r="BH131" i="1" s="1"/>
  <c r="AW131" i="1"/>
  <c r="BD131" i="1"/>
  <c r="BB131" i="1" s="1"/>
  <c r="BC131" i="1" s="1"/>
  <c r="BE131" i="1" s="1"/>
  <c r="AV132" i="1"/>
  <c r="AZ132" i="1" s="1"/>
  <c r="AW132" i="1"/>
  <c r="BB132" i="1"/>
  <c r="BC132" i="1"/>
  <c r="BE132" i="1" s="1"/>
  <c r="BD132" i="1"/>
  <c r="AV133" i="1"/>
  <c r="AZ133" i="1" s="1"/>
  <c r="AW133" i="1"/>
  <c r="BD133" i="1" s="1"/>
  <c r="BB133" i="1"/>
  <c r="BC133" i="1" s="1"/>
  <c r="BE133" i="1" s="1"/>
  <c r="AV134" i="1"/>
  <c r="AZ134" i="1" s="1"/>
  <c r="AW134" i="1"/>
  <c r="BD134" i="1" s="1"/>
  <c r="BB134" i="1" s="1"/>
  <c r="BC134" i="1" s="1"/>
  <c r="BE134" i="1" s="1"/>
  <c r="AX134" i="1"/>
  <c r="AY134" i="1" s="1"/>
  <c r="BA134" i="1" s="1"/>
  <c r="AV135" i="1"/>
  <c r="AZ135" i="1" s="1"/>
  <c r="AX135" i="1" s="1"/>
  <c r="AY135" i="1" s="1"/>
  <c r="BA135" i="1" s="1"/>
  <c r="BG135" i="1" s="1"/>
  <c r="AW135" i="1"/>
  <c r="BD135" i="1"/>
  <c r="BB135" i="1" s="1"/>
  <c r="BC135" i="1" s="1"/>
  <c r="BE135" i="1" s="1"/>
  <c r="AV136" i="1"/>
  <c r="AZ136" i="1" s="1"/>
  <c r="BF136" i="1" s="1"/>
  <c r="AW136" i="1"/>
  <c r="BB136" i="1"/>
  <c r="BC136" i="1"/>
  <c r="BE136" i="1" s="1"/>
  <c r="BD136" i="1"/>
  <c r="AV137" i="1"/>
  <c r="AW137" i="1"/>
  <c r="BD137" i="1" s="1"/>
  <c r="AZ137" i="1"/>
  <c r="BB137" i="1"/>
  <c r="BC137" i="1"/>
  <c r="BE137" i="1" s="1"/>
  <c r="AV138" i="1"/>
  <c r="AZ138" i="1" s="1"/>
  <c r="AX138" i="1" s="1"/>
  <c r="AY138" i="1" s="1"/>
  <c r="BA138" i="1" s="1"/>
  <c r="AW138" i="1"/>
  <c r="BD138" i="1" s="1"/>
  <c r="BB138" i="1" s="1"/>
  <c r="BC138" i="1" s="1"/>
  <c r="BE138" i="1" s="1"/>
  <c r="AV139" i="1"/>
  <c r="AZ139" i="1" s="1"/>
  <c r="AW139" i="1"/>
  <c r="AX139" i="1"/>
  <c r="AY139" i="1" s="1"/>
  <c r="BA139" i="1" s="1"/>
  <c r="BD139" i="1"/>
  <c r="BB139" i="1" s="1"/>
  <c r="BC139" i="1" s="1"/>
  <c r="BE139" i="1" s="1"/>
  <c r="AV140" i="1"/>
  <c r="AZ140" i="1" s="1"/>
  <c r="AW140" i="1"/>
  <c r="BB140" i="1"/>
  <c r="BC140" i="1" s="1"/>
  <c r="BE140" i="1" s="1"/>
  <c r="BD140" i="1"/>
  <c r="AV141" i="1"/>
  <c r="AZ141" i="1" s="1"/>
  <c r="AW141" i="1"/>
  <c r="BD141" i="1"/>
  <c r="BB141" i="1" s="1"/>
  <c r="BC141" i="1" s="1"/>
  <c r="BE141" i="1" s="1"/>
  <c r="AV142" i="1"/>
  <c r="AZ142" i="1" s="1"/>
  <c r="AW142" i="1"/>
  <c r="AX142" i="1"/>
  <c r="AY142" i="1" s="1"/>
  <c r="BA142" i="1" s="1"/>
  <c r="BB142" i="1"/>
  <c r="BC142" i="1" s="1"/>
  <c r="BE142" i="1" s="1"/>
  <c r="BD142" i="1"/>
  <c r="AV143" i="1"/>
  <c r="AW143" i="1"/>
  <c r="AZ143" i="1"/>
  <c r="BD143" i="1"/>
  <c r="BB143" i="1" s="1"/>
  <c r="BC143" i="1" s="1"/>
  <c r="BE143" i="1" s="1"/>
  <c r="AV144" i="1"/>
  <c r="AZ144" i="1" s="1"/>
  <c r="AX144" i="1" s="1"/>
  <c r="AY144" i="1" s="1"/>
  <c r="BA144" i="1" s="1"/>
  <c r="AW144" i="1"/>
  <c r="BB144" i="1"/>
  <c r="BC144" i="1"/>
  <c r="BE144" i="1" s="1"/>
  <c r="BD144" i="1"/>
  <c r="AV145" i="1"/>
  <c r="AW145" i="1"/>
  <c r="AZ145" i="1"/>
  <c r="BD145" i="1"/>
  <c r="BB145" i="1" s="1"/>
  <c r="BC145" i="1" s="1"/>
  <c r="BE145" i="1" s="1"/>
  <c r="AV146" i="1"/>
  <c r="AZ146" i="1" s="1"/>
  <c r="AX146" i="1" s="1"/>
  <c r="AW146" i="1"/>
  <c r="AY146" i="1"/>
  <c r="BA146" i="1" s="1"/>
  <c r="BD146" i="1"/>
  <c r="BB146" i="1" s="1"/>
  <c r="BC146" i="1" s="1"/>
  <c r="BE146" i="1" s="1"/>
  <c r="AV147" i="1"/>
  <c r="AZ147" i="1" s="1"/>
  <c r="AX147" i="1" s="1"/>
  <c r="AY147" i="1" s="1"/>
  <c r="BA147" i="1" s="1"/>
  <c r="AW147" i="1"/>
  <c r="BD147" i="1"/>
  <c r="BB147" i="1" s="1"/>
  <c r="BC147" i="1" s="1"/>
  <c r="BE147" i="1" s="1"/>
  <c r="AV148" i="1"/>
  <c r="AZ148" i="1" s="1"/>
  <c r="BH148" i="1" s="1"/>
  <c r="AW148" i="1"/>
  <c r="BB148" i="1"/>
  <c r="BC148" i="1"/>
  <c r="BE148" i="1" s="1"/>
  <c r="BD148" i="1"/>
  <c r="AV149" i="1"/>
  <c r="AZ149" i="1" s="1"/>
  <c r="AW149" i="1"/>
  <c r="BC149" i="1"/>
  <c r="BE149" i="1" s="1"/>
  <c r="BD149" i="1"/>
  <c r="BB149" i="1" s="1"/>
  <c r="AV150" i="1"/>
  <c r="AZ150" i="1" s="1"/>
  <c r="AW150" i="1"/>
  <c r="AX150" i="1"/>
  <c r="AY150" i="1"/>
  <c r="BA150" i="1" s="1"/>
  <c r="BB150" i="1"/>
  <c r="BC150" i="1" s="1"/>
  <c r="BE150" i="1" s="1"/>
  <c r="BD150" i="1"/>
  <c r="AV151" i="1"/>
  <c r="AZ151" i="1" s="1"/>
  <c r="AW151" i="1"/>
  <c r="BD151" i="1"/>
  <c r="BB151" i="1" s="1"/>
  <c r="BC151" i="1" s="1"/>
  <c r="BE151" i="1" s="1"/>
  <c r="AV152" i="1"/>
  <c r="AW152" i="1"/>
  <c r="AZ152" i="1"/>
  <c r="BH152" i="1" s="1"/>
  <c r="BD152" i="1"/>
  <c r="BB152" i="1" s="1"/>
  <c r="BC152" i="1" s="1"/>
  <c r="BE152" i="1" s="1"/>
  <c r="AV153" i="1"/>
  <c r="AZ153" i="1" s="1"/>
  <c r="BF153" i="1" s="1"/>
  <c r="AW153" i="1"/>
  <c r="BD153" i="1"/>
  <c r="BB153" i="1" s="1"/>
  <c r="BC153" i="1" s="1"/>
  <c r="BE153" i="1" s="1"/>
  <c r="AV154" i="1"/>
  <c r="AZ154" i="1" s="1"/>
  <c r="AW154" i="1"/>
  <c r="BD154" i="1"/>
  <c r="BB154" i="1" s="1"/>
  <c r="BC154" i="1" s="1"/>
  <c r="BE154" i="1" s="1"/>
  <c r="AV155" i="1"/>
  <c r="AZ155" i="1" s="1"/>
  <c r="AX155" i="1" s="1"/>
  <c r="AY155" i="1" s="1"/>
  <c r="BA155" i="1" s="1"/>
  <c r="AW155" i="1"/>
  <c r="BD155" i="1"/>
  <c r="BB155" i="1" s="1"/>
  <c r="BC155" i="1" s="1"/>
  <c r="BE155" i="1" s="1"/>
  <c r="AV156" i="1"/>
  <c r="AW156" i="1"/>
  <c r="AZ156" i="1"/>
  <c r="BF156" i="1" s="1"/>
  <c r="BC156" i="1"/>
  <c r="BE156" i="1" s="1"/>
  <c r="BD156" i="1"/>
  <c r="BB156" i="1" s="1"/>
  <c r="AV157" i="1"/>
  <c r="AW157" i="1"/>
  <c r="BD157" i="1" s="1"/>
  <c r="BB157" i="1" s="1"/>
  <c r="BC157" i="1" s="1"/>
  <c r="BE157" i="1" s="1"/>
  <c r="AZ157" i="1"/>
  <c r="AV158" i="1"/>
  <c r="AZ158" i="1" s="1"/>
  <c r="AX158" i="1" s="1"/>
  <c r="AY158" i="1" s="1"/>
  <c r="BA158" i="1" s="1"/>
  <c r="AW158" i="1"/>
  <c r="BD158" i="1" s="1"/>
  <c r="BB158" i="1" s="1"/>
  <c r="BC158" i="1" s="1"/>
  <c r="BE158" i="1" s="1"/>
  <c r="BH158" i="1"/>
  <c r="AV159" i="1"/>
  <c r="AZ159" i="1" s="1"/>
  <c r="AW159" i="1"/>
  <c r="BB159" i="1"/>
  <c r="BC159" i="1" s="1"/>
  <c r="BE159" i="1" s="1"/>
  <c r="BD159" i="1"/>
  <c r="AV160" i="1"/>
  <c r="AZ160" i="1" s="1"/>
  <c r="AX160" i="1" s="1"/>
  <c r="AY160" i="1" s="1"/>
  <c r="BA160" i="1" s="1"/>
  <c r="AW160" i="1"/>
  <c r="BD160" i="1"/>
  <c r="BB160" i="1" s="1"/>
  <c r="BC160" i="1" s="1"/>
  <c r="BE160" i="1" s="1"/>
  <c r="BF160" i="1"/>
  <c r="AV161" i="1"/>
  <c r="AZ161" i="1" s="1"/>
  <c r="AX161" i="1" s="1"/>
  <c r="AY161" i="1" s="1"/>
  <c r="BA161" i="1" s="1"/>
  <c r="AW161" i="1"/>
  <c r="BD161" i="1" s="1"/>
  <c r="BB161" i="1"/>
  <c r="BC161" i="1" s="1"/>
  <c r="BE161" i="1" s="1"/>
  <c r="BH161" i="1"/>
  <c r="AV162" i="1"/>
  <c r="AZ162" i="1" s="1"/>
  <c r="AW162" i="1"/>
  <c r="BD162" i="1" s="1"/>
  <c r="BB162" i="1" s="1"/>
  <c r="AV163" i="1"/>
  <c r="AZ163" i="1" s="1"/>
  <c r="BF163" i="1" s="1"/>
  <c r="AW163" i="1"/>
  <c r="BD163" i="1" s="1"/>
  <c r="BB163" i="1" s="1"/>
  <c r="BC163" i="1" s="1"/>
  <c r="BE163" i="1" s="1"/>
  <c r="AV164" i="1"/>
  <c r="AZ164" i="1" s="1"/>
  <c r="AW164" i="1"/>
  <c r="BB164" i="1"/>
  <c r="BC164" i="1" s="1"/>
  <c r="BE164" i="1" s="1"/>
  <c r="BD164" i="1"/>
  <c r="AV165" i="1"/>
  <c r="AZ165" i="1" s="1"/>
  <c r="AW165" i="1"/>
  <c r="BD165" i="1" s="1"/>
  <c r="BB165" i="1" s="1"/>
  <c r="BC165" i="1" s="1"/>
  <c r="BE165" i="1" s="1"/>
  <c r="AV166" i="1"/>
  <c r="AW166" i="1"/>
  <c r="AZ166" i="1"/>
  <c r="BD166" i="1"/>
  <c r="BB166" i="1" s="1"/>
  <c r="BC166" i="1" s="1"/>
  <c r="BE166" i="1" s="1"/>
  <c r="AV167" i="1"/>
  <c r="AZ167" i="1" s="1"/>
  <c r="AW167" i="1"/>
  <c r="BD167" i="1" s="1"/>
  <c r="BB167" i="1" s="1"/>
  <c r="BC167" i="1" s="1"/>
  <c r="BE167" i="1" s="1"/>
  <c r="AV168" i="1"/>
  <c r="AZ168" i="1" s="1"/>
  <c r="BH168" i="1" s="1"/>
  <c r="AW168" i="1"/>
  <c r="BB168" i="1"/>
  <c r="BC168" i="1" s="1"/>
  <c r="BE168" i="1" s="1"/>
  <c r="BD168" i="1"/>
  <c r="AV169" i="1"/>
  <c r="AZ169" i="1" s="1"/>
  <c r="AW169" i="1"/>
  <c r="BD169" i="1" s="1"/>
  <c r="BB169" i="1" s="1"/>
  <c r="AV170" i="1"/>
  <c r="AZ170" i="1" s="1"/>
  <c r="AX170" i="1" s="1"/>
  <c r="AY170" i="1" s="1"/>
  <c r="BA170" i="1" s="1"/>
  <c r="AW170" i="1"/>
  <c r="BD170" i="1" s="1"/>
  <c r="BB170" i="1" s="1"/>
  <c r="BC170" i="1" s="1"/>
  <c r="BE170" i="1" s="1"/>
  <c r="AV171" i="1"/>
  <c r="AW171" i="1"/>
  <c r="BD171" i="1" s="1"/>
  <c r="BB171" i="1" s="1"/>
  <c r="BC171" i="1" s="1"/>
  <c r="AZ171" i="1"/>
  <c r="AV172" i="1"/>
  <c r="AZ172" i="1" s="1"/>
  <c r="AW172" i="1"/>
  <c r="BD172" i="1" s="1"/>
  <c r="BB172" i="1" s="1"/>
  <c r="BC172" i="1" s="1"/>
  <c r="BE172" i="1" s="1"/>
  <c r="AV173" i="1"/>
  <c r="AZ173" i="1" s="1"/>
  <c r="BH173" i="1" s="1"/>
  <c r="AW173" i="1"/>
  <c r="BD173" i="1"/>
  <c r="BB173" i="1" s="1"/>
  <c r="BC173" i="1" s="1"/>
  <c r="BE173" i="1" s="1"/>
  <c r="AV174" i="1"/>
  <c r="AW174" i="1"/>
  <c r="BD174" i="1" s="1"/>
  <c r="BB174" i="1" s="1"/>
  <c r="BC174" i="1" s="1"/>
  <c r="BE174" i="1" s="1"/>
  <c r="AZ174" i="1"/>
  <c r="AV175" i="1"/>
  <c r="AZ175" i="1" s="1"/>
  <c r="BH175" i="1" s="1"/>
  <c r="AW175" i="1"/>
  <c r="BB175" i="1"/>
  <c r="BC175" i="1"/>
  <c r="BE175" i="1" s="1"/>
  <c r="BD175" i="1"/>
  <c r="AV176" i="1"/>
  <c r="AZ176" i="1" s="1"/>
  <c r="AW176" i="1"/>
  <c r="BD176" i="1" s="1"/>
  <c r="BB176" i="1" s="1"/>
  <c r="BC176" i="1" s="1"/>
  <c r="BE176" i="1" s="1"/>
  <c r="AV177" i="1"/>
  <c r="AZ177" i="1" s="1"/>
  <c r="AX177" i="1" s="1"/>
  <c r="AY177" i="1" s="1"/>
  <c r="BA177" i="1" s="1"/>
  <c r="AW177" i="1"/>
  <c r="BD177" i="1" s="1"/>
  <c r="BB177" i="1" s="1"/>
  <c r="AV178" i="1"/>
  <c r="AW178" i="1"/>
  <c r="BD178" i="1" s="1"/>
  <c r="BB178" i="1" s="1"/>
  <c r="BC178" i="1" s="1"/>
  <c r="BE178" i="1" s="1"/>
  <c r="AX178" i="1"/>
  <c r="AY178" i="1" s="1"/>
  <c r="BA178" i="1" s="1"/>
  <c r="AZ178" i="1"/>
  <c r="BH178" i="1" s="1"/>
  <c r="AV179" i="1"/>
  <c r="AW179" i="1"/>
  <c r="AZ179" i="1"/>
  <c r="BB179" i="1"/>
  <c r="BC179" i="1"/>
  <c r="BE179" i="1" s="1"/>
  <c r="BD179" i="1"/>
  <c r="AV180" i="1"/>
  <c r="AZ180" i="1" s="1"/>
  <c r="AW180" i="1"/>
  <c r="BD180" i="1"/>
  <c r="BB180" i="1" s="1"/>
  <c r="BC180" i="1" s="1"/>
  <c r="BE180" i="1" s="1"/>
  <c r="AV181" i="1"/>
  <c r="AZ181" i="1" s="1"/>
  <c r="AW181" i="1"/>
  <c r="BD181" i="1" s="1"/>
  <c r="BB181" i="1" s="1"/>
  <c r="AX181" i="1"/>
  <c r="AY181" i="1" s="1"/>
  <c r="BA181" i="1" s="1"/>
  <c r="AV182" i="1"/>
  <c r="AZ182" i="1" s="1"/>
  <c r="AW182" i="1"/>
  <c r="BD182" i="1" s="1"/>
  <c r="BB182" i="1" s="1"/>
  <c r="BC182" i="1" s="1"/>
  <c r="BE182" i="1" s="1"/>
  <c r="AV183" i="1"/>
  <c r="AW183" i="1"/>
  <c r="AZ183" i="1"/>
  <c r="BB183" i="1"/>
  <c r="BC183" i="1" s="1"/>
  <c r="BD183" i="1"/>
  <c r="AV184" i="1"/>
  <c r="AZ184" i="1" s="1"/>
  <c r="AW184" i="1"/>
  <c r="BB184" i="1"/>
  <c r="BC184" i="1"/>
  <c r="BE184" i="1" s="1"/>
  <c r="BD184" i="1"/>
  <c r="AV185" i="1"/>
  <c r="AZ185" i="1" s="1"/>
  <c r="AX185" i="1" s="1"/>
  <c r="AY185" i="1" s="1"/>
  <c r="BA185" i="1" s="1"/>
  <c r="AW185" i="1"/>
  <c r="BD185" i="1" s="1"/>
  <c r="BB185" i="1" s="1"/>
  <c r="BC185" i="1" s="1"/>
  <c r="BE185" i="1" s="1"/>
  <c r="AV186" i="1"/>
  <c r="AZ186" i="1" s="1"/>
  <c r="AX186" i="1" s="1"/>
  <c r="AY186" i="1" s="1"/>
  <c r="BA186" i="1" s="1"/>
  <c r="AW186" i="1"/>
  <c r="BD186" i="1" s="1"/>
  <c r="BB186" i="1" s="1"/>
  <c r="BC186" i="1" s="1"/>
  <c r="BE186" i="1" s="1"/>
  <c r="AV187" i="1"/>
  <c r="AW187" i="1"/>
  <c r="AZ187" i="1"/>
  <c r="BH187" i="1" s="1"/>
  <c r="BB187" i="1"/>
  <c r="BC187" i="1"/>
  <c r="BE187" i="1" s="1"/>
  <c r="BD187" i="1"/>
  <c r="AV188" i="1"/>
  <c r="AZ188" i="1" s="1"/>
  <c r="AW188" i="1"/>
  <c r="BB188" i="1"/>
  <c r="BC188" i="1" s="1"/>
  <c r="BE188" i="1" s="1"/>
  <c r="BD188" i="1"/>
  <c r="AV189" i="1"/>
  <c r="AZ189" i="1" s="1"/>
  <c r="AW189" i="1"/>
  <c r="AX189" i="1"/>
  <c r="AY189" i="1" s="1"/>
  <c r="BA189" i="1" s="1"/>
  <c r="BG189" i="1" s="1"/>
  <c r="BD189" i="1"/>
  <c r="BB189" i="1" s="1"/>
  <c r="BC189" i="1" s="1"/>
  <c r="BE189" i="1" s="1"/>
  <c r="BF189" i="1"/>
  <c r="AV190" i="1"/>
  <c r="AW190" i="1"/>
  <c r="AZ190" i="1"/>
  <c r="BF190" i="1" s="1"/>
  <c r="BD190" i="1"/>
  <c r="BB190" i="1" s="1"/>
  <c r="BC190" i="1" s="1"/>
  <c r="BE190" i="1" s="1"/>
  <c r="AV191" i="1"/>
  <c r="AW191" i="1"/>
  <c r="AZ191" i="1"/>
  <c r="AX191" i="1" s="1"/>
  <c r="AY191" i="1" s="1"/>
  <c r="BA191" i="1" s="1"/>
  <c r="BB191" i="1"/>
  <c r="BD191" i="1"/>
  <c r="AV192" i="1"/>
  <c r="AZ192" i="1" s="1"/>
  <c r="AW192" i="1"/>
  <c r="BD192" i="1" s="1"/>
  <c r="BB192" i="1" s="1"/>
  <c r="BC192" i="1" s="1"/>
  <c r="BE192" i="1" s="1"/>
  <c r="AV193" i="1"/>
  <c r="AZ193" i="1" s="1"/>
  <c r="AX193" i="1" s="1"/>
  <c r="AW193" i="1"/>
  <c r="BD193" i="1" s="1"/>
  <c r="BB193" i="1" s="1"/>
  <c r="AY193" i="1"/>
  <c r="BA193" i="1" s="1"/>
  <c r="AV194" i="1"/>
  <c r="AW194" i="1"/>
  <c r="AZ194" i="1"/>
  <c r="BF194" i="1" s="1"/>
  <c r="BD194" i="1"/>
  <c r="BB194" i="1" s="1"/>
  <c r="BC194" i="1" s="1"/>
  <c r="BE194" i="1" s="1"/>
  <c r="AV195" i="1"/>
  <c r="AZ195" i="1" s="1"/>
  <c r="AW195" i="1"/>
  <c r="BB195" i="1"/>
  <c r="BC195" i="1"/>
  <c r="BE195" i="1" s="1"/>
  <c r="BD195" i="1"/>
  <c r="AV196" i="1"/>
  <c r="AZ196" i="1" s="1"/>
  <c r="AW196" i="1"/>
  <c r="BD196" i="1" s="1"/>
  <c r="BB196" i="1" s="1"/>
  <c r="AX196" i="1"/>
  <c r="AY196" i="1" s="1"/>
  <c r="BA196" i="1" s="1"/>
  <c r="AV197" i="1"/>
  <c r="AZ197" i="1" s="1"/>
  <c r="AW197" i="1"/>
  <c r="BD197" i="1" s="1"/>
  <c r="BB197" i="1" s="1"/>
  <c r="BC197" i="1" s="1"/>
  <c r="BE197" i="1" s="1"/>
  <c r="AV198" i="1"/>
  <c r="AW198" i="1"/>
  <c r="BD198" i="1" s="1"/>
  <c r="BB198" i="1" s="1"/>
  <c r="BC198" i="1" s="1"/>
  <c r="BE198" i="1" s="1"/>
  <c r="AX198" i="1"/>
  <c r="AY198" i="1" s="1"/>
  <c r="BA198" i="1" s="1"/>
  <c r="AZ198" i="1"/>
  <c r="AV199" i="1"/>
  <c r="AZ199" i="1" s="1"/>
  <c r="AW199" i="1"/>
  <c r="BD199" i="1"/>
  <c r="BB199" i="1" s="1"/>
  <c r="BC199" i="1" s="1"/>
  <c r="BE199" i="1" s="1"/>
  <c r="AV200" i="1"/>
  <c r="AZ200" i="1" s="1"/>
  <c r="AW200" i="1"/>
  <c r="BD200" i="1"/>
  <c r="BB200" i="1" s="1"/>
  <c r="BC200" i="1" s="1"/>
  <c r="BE200" i="1" s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22" i="1"/>
  <c r="H9" i="1"/>
  <c r="H8" i="1"/>
  <c r="H7" i="1"/>
  <c r="H6" i="1"/>
  <c r="H5" i="1"/>
  <c r="H4" i="1"/>
  <c r="H3" i="1"/>
  <c r="H2" i="1"/>
  <c r="D177" i="2"/>
  <c r="C177" i="2"/>
  <c r="E177" i="2" s="1"/>
  <c r="B177" i="2"/>
  <c r="D176" i="2"/>
  <c r="C176" i="2"/>
  <c r="B176" i="2"/>
  <c r="D175" i="2"/>
  <c r="E175" i="2" s="1"/>
  <c r="C175" i="2"/>
  <c r="B175" i="2"/>
  <c r="H174" i="2"/>
  <c r="G174" i="2"/>
  <c r="D174" i="2"/>
  <c r="C174" i="2"/>
  <c r="J174" i="2" s="1"/>
  <c r="B174" i="2"/>
  <c r="H173" i="2"/>
  <c r="G173" i="2"/>
  <c r="K173" i="2" s="1"/>
  <c r="E173" i="2"/>
  <c r="D173" i="2"/>
  <c r="J173" i="2" s="1"/>
  <c r="C173" i="2"/>
  <c r="B173" i="2"/>
  <c r="J172" i="2"/>
  <c r="H172" i="2"/>
  <c r="G172" i="2"/>
  <c r="E172" i="2"/>
  <c r="D172" i="2"/>
  <c r="C172" i="2"/>
  <c r="B172" i="2"/>
  <c r="J171" i="2"/>
  <c r="H171" i="2"/>
  <c r="G171" i="2"/>
  <c r="K171" i="2" s="1"/>
  <c r="L170" i="2" s="1"/>
  <c r="E171" i="2"/>
  <c r="D171" i="2"/>
  <c r="C171" i="2"/>
  <c r="B171" i="2"/>
  <c r="J170" i="2"/>
  <c r="K170" i="2" s="1"/>
  <c r="H170" i="2"/>
  <c r="D170" i="2"/>
  <c r="C170" i="2"/>
  <c r="E170" i="2" s="1"/>
  <c r="B170" i="2"/>
  <c r="G170" i="2" s="1"/>
  <c r="J169" i="2"/>
  <c r="D169" i="2"/>
  <c r="C169" i="2"/>
  <c r="E169" i="2" s="1"/>
  <c r="B169" i="2"/>
  <c r="D168" i="2"/>
  <c r="C168" i="2"/>
  <c r="B168" i="2"/>
  <c r="D167" i="2"/>
  <c r="C167" i="2"/>
  <c r="B167" i="2"/>
  <c r="H166" i="2"/>
  <c r="G166" i="2"/>
  <c r="D166" i="2"/>
  <c r="E166" i="2" s="1"/>
  <c r="C166" i="2"/>
  <c r="B166" i="2"/>
  <c r="H165" i="2"/>
  <c r="G165" i="2"/>
  <c r="D165" i="2"/>
  <c r="J165" i="2" s="1"/>
  <c r="C165" i="2"/>
  <c r="B165" i="2"/>
  <c r="J164" i="2"/>
  <c r="H164" i="2"/>
  <c r="G164" i="2"/>
  <c r="K164" i="2" s="1"/>
  <c r="L163" i="2" s="1"/>
  <c r="E164" i="2"/>
  <c r="D164" i="2"/>
  <c r="C164" i="2"/>
  <c r="B164" i="2"/>
  <c r="J163" i="2"/>
  <c r="H163" i="2"/>
  <c r="G163" i="2"/>
  <c r="K163" i="2" s="1"/>
  <c r="L162" i="2" s="1"/>
  <c r="E163" i="2"/>
  <c r="D163" i="2"/>
  <c r="C163" i="2"/>
  <c r="B163" i="2"/>
  <c r="J162" i="2"/>
  <c r="K162" i="2" s="1"/>
  <c r="H162" i="2"/>
  <c r="D162" i="2"/>
  <c r="C162" i="2"/>
  <c r="E162" i="2" s="1"/>
  <c r="B162" i="2"/>
  <c r="G162" i="2" s="1"/>
  <c r="D161" i="2"/>
  <c r="C161" i="2"/>
  <c r="B161" i="2"/>
  <c r="D160" i="2"/>
  <c r="C160" i="2"/>
  <c r="B160" i="2"/>
  <c r="E159" i="2"/>
  <c r="D159" i="2"/>
  <c r="C159" i="2"/>
  <c r="B159" i="2"/>
  <c r="H158" i="2"/>
  <c r="G158" i="2"/>
  <c r="D158" i="2"/>
  <c r="C158" i="2"/>
  <c r="B158" i="2"/>
  <c r="H157" i="2"/>
  <c r="G157" i="2"/>
  <c r="E157" i="2"/>
  <c r="D157" i="2"/>
  <c r="J157" i="2" s="1"/>
  <c r="C157" i="2"/>
  <c r="B157" i="2"/>
  <c r="J156" i="2"/>
  <c r="H156" i="2"/>
  <c r="G156" i="2"/>
  <c r="K156" i="2" s="1"/>
  <c r="E156" i="2"/>
  <c r="D156" i="2"/>
  <c r="C156" i="2"/>
  <c r="B156" i="2"/>
  <c r="J155" i="2"/>
  <c r="H155" i="2"/>
  <c r="G155" i="2"/>
  <c r="K155" i="2" s="1"/>
  <c r="E155" i="2"/>
  <c r="D155" i="2"/>
  <c r="C155" i="2"/>
  <c r="B155" i="2"/>
  <c r="H154" i="2"/>
  <c r="D154" i="2"/>
  <c r="C154" i="2"/>
  <c r="B154" i="2"/>
  <c r="G154" i="2" s="1"/>
  <c r="D153" i="2"/>
  <c r="C153" i="2"/>
  <c r="B153" i="2"/>
  <c r="D152" i="2"/>
  <c r="C152" i="2"/>
  <c r="J152" i="2" s="1"/>
  <c r="B152" i="2"/>
  <c r="G151" i="2"/>
  <c r="D151" i="2"/>
  <c r="E151" i="2" s="1"/>
  <c r="C151" i="2"/>
  <c r="B151" i="2"/>
  <c r="H151" i="2" s="1"/>
  <c r="H150" i="2"/>
  <c r="G150" i="2"/>
  <c r="D150" i="2"/>
  <c r="C150" i="2"/>
  <c r="B150" i="2"/>
  <c r="H149" i="2"/>
  <c r="G149" i="2"/>
  <c r="D149" i="2"/>
  <c r="C149" i="2"/>
  <c r="J149" i="2" s="1"/>
  <c r="B149" i="2"/>
  <c r="H148" i="2"/>
  <c r="G148" i="2"/>
  <c r="D148" i="2"/>
  <c r="C148" i="2"/>
  <c r="B148" i="2"/>
  <c r="H147" i="2"/>
  <c r="G147" i="2"/>
  <c r="D147" i="2"/>
  <c r="J147" i="2" s="1"/>
  <c r="C147" i="2"/>
  <c r="B147" i="2"/>
  <c r="J146" i="2"/>
  <c r="H146" i="2"/>
  <c r="G146" i="2"/>
  <c r="E146" i="2"/>
  <c r="D146" i="2"/>
  <c r="C146" i="2"/>
  <c r="B146" i="2"/>
  <c r="K145" i="2"/>
  <c r="J145" i="2"/>
  <c r="H145" i="2"/>
  <c r="G145" i="2"/>
  <c r="E145" i="2"/>
  <c r="D145" i="2"/>
  <c r="C145" i="2"/>
  <c r="B145" i="2"/>
  <c r="J144" i="2"/>
  <c r="D144" i="2"/>
  <c r="C144" i="2"/>
  <c r="E144" i="2" s="1"/>
  <c r="B144" i="2"/>
  <c r="G144" i="2" s="1"/>
  <c r="J143" i="2"/>
  <c r="K143" i="2" s="1"/>
  <c r="H143" i="2"/>
  <c r="D143" i="2"/>
  <c r="C143" i="2"/>
  <c r="E143" i="2" s="1"/>
  <c r="B143" i="2"/>
  <c r="G143" i="2" s="1"/>
  <c r="D142" i="2"/>
  <c r="E142" i="2" s="1"/>
  <c r="C142" i="2"/>
  <c r="B142" i="2"/>
  <c r="D141" i="2"/>
  <c r="C141" i="2"/>
  <c r="J141" i="2" s="1"/>
  <c r="B141" i="2"/>
  <c r="H140" i="2"/>
  <c r="G140" i="2"/>
  <c r="D140" i="2"/>
  <c r="C140" i="2"/>
  <c r="B140" i="2"/>
  <c r="H139" i="2"/>
  <c r="G139" i="2"/>
  <c r="D139" i="2"/>
  <c r="J139" i="2" s="1"/>
  <c r="C139" i="2"/>
  <c r="B139" i="2"/>
  <c r="J138" i="2"/>
  <c r="H138" i="2"/>
  <c r="G138" i="2"/>
  <c r="E138" i="2"/>
  <c r="D138" i="2"/>
  <c r="C138" i="2"/>
  <c r="B138" i="2"/>
  <c r="K137" i="2"/>
  <c r="J137" i="2"/>
  <c r="H137" i="2"/>
  <c r="G137" i="2"/>
  <c r="E137" i="2"/>
  <c r="D137" i="2"/>
  <c r="C137" i="2"/>
  <c r="B137" i="2"/>
  <c r="J136" i="2"/>
  <c r="D136" i="2"/>
  <c r="C136" i="2"/>
  <c r="E136" i="2" s="1"/>
  <c r="B136" i="2"/>
  <c r="G136" i="2" s="1"/>
  <c r="D135" i="2"/>
  <c r="C135" i="2"/>
  <c r="B135" i="2"/>
  <c r="H135" i="2" s="1"/>
  <c r="D134" i="2"/>
  <c r="E134" i="2" s="1"/>
  <c r="C134" i="2"/>
  <c r="J134" i="2" s="1"/>
  <c r="B134" i="2"/>
  <c r="E133" i="2"/>
  <c r="D133" i="2"/>
  <c r="C133" i="2"/>
  <c r="J133" i="2" s="1"/>
  <c r="B133" i="2"/>
  <c r="H132" i="2"/>
  <c r="G132" i="2"/>
  <c r="D132" i="2"/>
  <c r="C132" i="2"/>
  <c r="B132" i="2"/>
  <c r="H131" i="2"/>
  <c r="G131" i="2"/>
  <c r="D131" i="2"/>
  <c r="J131" i="2" s="1"/>
  <c r="C131" i="2"/>
  <c r="B131" i="2"/>
  <c r="J130" i="2"/>
  <c r="H130" i="2"/>
  <c r="G130" i="2"/>
  <c r="E130" i="2"/>
  <c r="D130" i="2"/>
  <c r="C130" i="2"/>
  <c r="B130" i="2"/>
  <c r="K129" i="2"/>
  <c r="J129" i="2"/>
  <c r="H129" i="2"/>
  <c r="G129" i="2"/>
  <c r="E129" i="2"/>
  <c r="D129" i="2"/>
  <c r="C129" i="2"/>
  <c r="B129" i="2"/>
  <c r="J128" i="2"/>
  <c r="H128" i="2"/>
  <c r="D128" i="2"/>
  <c r="C128" i="2"/>
  <c r="E128" i="2" s="1"/>
  <c r="B128" i="2"/>
  <c r="G128" i="2" s="1"/>
  <c r="D127" i="2"/>
  <c r="C127" i="2"/>
  <c r="E127" i="2" s="1"/>
  <c r="B127" i="2"/>
  <c r="H127" i="2" s="1"/>
  <c r="D126" i="2"/>
  <c r="E126" i="2" s="1"/>
  <c r="C126" i="2"/>
  <c r="B126" i="2"/>
  <c r="E125" i="2"/>
  <c r="D125" i="2"/>
  <c r="C125" i="2"/>
  <c r="J125" i="2" s="1"/>
  <c r="B125" i="2"/>
  <c r="H124" i="2"/>
  <c r="G124" i="2"/>
  <c r="D124" i="2"/>
  <c r="C124" i="2"/>
  <c r="B124" i="2"/>
  <c r="H123" i="2"/>
  <c r="G123" i="2"/>
  <c r="D123" i="2"/>
  <c r="J123" i="2" s="1"/>
  <c r="C123" i="2"/>
  <c r="B123" i="2"/>
  <c r="J122" i="2"/>
  <c r="H122" i="2"/>
  <c r="G122" i="2"/>
  <c r="K122" i="2" s="1"/>
  <c r="L121" i="2" s="1"/>
  <c r="E122" i="2"/>
  <c r="D122" i="2"/>
  <c r="C122" i="2"/>
  <c r="B122" i="2"/>
  <c r="J121" i="2"/>
  <c r="H121" i="2"/>
  <c r="G121" i="2"/>
  <c r="K121" i="2" s="1"/>
  <c r="E121" i="2"/>
  <c r="D121" i="2"/>
  <c r="C121" i="2"/>
  <c r="B121" i="2"/>
  <c r="J120" i="2"/>
  <c r="H120" i="2"/>
  <c r="D120" i="2"/>
  <c r="C120" i="2"/>
  <c r="E120" i="2" s="1"/>
  <c r="B120" i="2"/>
  <c r="G120" i="2" s="1"/>
  <c r="D119" i="2"/>
  <c r="C119" i="2"/>
  <c r="E119" i="2" s="1"/>
  <c r="B119" i="2"/>
  <c r="H119" i="2" s="1"/>
  <c r="D118" i="2"/>
  <c r="E118" i="2" s="1"/>
  <c r="C118" i="2"/>
  <c r="J118" i="2" s="1"/>
  <c r="B118" i="2"/>
  <c r="D117" i="2"/>
  <c r="C117" i="2"/>
  <c r="B117" i="2"/>
  <c r="H116" i="2"/>
  <c r="G116" i="2"/>
  <c r="D116" i="2"/>
  <c r="C116" i="2"/>
  <c r="B116" i="2"/>
  <c r="H115" i="2"/>
  <c r="G115" i="2"/>
  <c r="K115" i="2" s="1"/>
  <c r="L114" i="2" s="1"/>
  <c r="D115" i="2"/>
  <c r="J115" i="2" s="1"/>
  <c r="C115" i="2"/>
  <c r="B115" i="2"/>
  <c r="J114" i="2"/>
  <c r="H114" i="2"/>
  <c r="G114" i="2"/>
  <c r="K114" i="2" s="1"/>
  <c r="E114" i="2"/>
  <c r="D114" i="2"/>
  <c r="C114" i="2"/>
  <c r="B114" i="2"/>
  <c r="J113" i="2"/>
  <c r="H113" i="2"/>
  <c r="G113" i="2"/>
  <c r="K113" i="2" s="1"/>
  <c r="E113" i="2"/>
  <c r="D113" i="2"/>
  <c r="C113" i="2"/>
  <c r="B113" i="2"/>
  <c r="J112" i="2"/>
  <c r="H112" i="2"/>
  <c r="D112" i="2"/>
  <c r="C112" i="2"/>
  <c r="E112" i="2" s="1"/>
  <c r="B112" i="2"/>
  <c r="G112" i="2" s="1"/>
  <c r="D111" i="2"/>
  <c r="C111" i="2"/>
  <c r="E111" i="2" s="1"/>
  <c r="B111" i="2"/>
  <c r="H111" i="2" s="1"/>
  <c r="D110" i="2"/>
  <c r="E110" i="2" s="1"/>
  <c r="C110" i="2"/>
  <c r="J110" i="2" s="1"/>
  <c r="B110" i="2"/>
  <c r="D109" i="2"/>
  <c r="C109" i="2"/>
  <c r="J109" i="2" s="1"/>
  <c r="B109" i="2"/>
  <c r="H108" i="2"/>
  <c r="G108" i="2"/>
  <c r="D108" i="2"/>
  <c r="C108" i="2"/>
  <c r="B108" i="2"/>
  <c r="H107" i="2"/>
  <c r="G107" i="2"/>
  <c r="K107" i="2" s="1"/>
  <c r="L106" i="2" s="1"/>
  <c r="E107" i="2"/>
  <c r="D107" i="2"/>
  <c r="J107" i="2" s="1"/>
  <c r="C107" i="2"/>
  <c r="B107" i="2"/>
  <c r="J106" i="2"/>
  <c r="H106" i="2"/>
  <c r="G106" i="2"/>
  <c r="K106" i="2" s="1"/>
  <c r="E106" i="2"/>
  <c r="D106" i="2"/>
  <c r="C106" i="2"/>
  <c r="B106" i="2"/>
  <c r="J105" i="2"/>
  <c r="H105" i="2"/>
  <c r="G105" i="2"/>
  <c r="K105" i="2" s="1"/>
  <c r="E105" i="2"/>
  <c r="D105" i="2"/>
  <c r="C105" i="2"/>
  <c r="B105" i="2"/>
  <c r="J104" i="2"/>
  <c r="D104" i="2"/>
  <c r="C104" i="2"/>
  <c r="E104" i="2" s="1"/>
  <c r="B104" i="2"/>
  <c r="D103" i="2"/>
  <c r="C103" i="2"/>
  <c r="E103" i="2" s="1"/>
  <c r="B103" i="2"/>
  <c r="H103" i="2" s="1"/>
  <c r="D102" i="2"/>
  <c r="E102" i="2" s="1"/>
  <c r="C102" i="2"/>
  <c r="B102" i="2"/>
  <c r="D101" i="2"/>
  <c r="C101" i="2"/>
  <c r="J101" i="2" s="1"/>
  <c r="B101" i="2"/>
  <c r="H100" i="2"/>
  <c r="G100" i="2"/>
  <c r="D100" i="2"/>
  <c r="C100" i="2"/>
  <c r="B100" i="2"/>
  <c r="H99" i="2"/>
  <c r="G99" i="2"/>
  <c r="D99" i="2"/>
  <c r="C99" i="2"/>
  <c r="B99" i="2"/>
  <c r="J98" i="2"/>
  <c r="H98" i="2"/>
  <c r="G98" i="2"/>
  <c r="K98" i="2" s="1"/>
  <c r="E98" i="2"/>
  <c r="D98" i="2"/>
  <c r="C98" i="2"/>
  <c r="B98" i="2"/>
  <c r="J97" i="2"/>
  <c r="H97" i="2"/>
  <c r="G97" i="2"/>
  <c r="K97" i="2" s="1"/>
  <c r="L96" i="2" s="1"/>
  <c r="E97" i="2"/>
  <c r="D97" i="2"/>
  <c r="C97" i="2"/>
  <c r="B97" i="2"/>
  <c r="J96" i="2"/>
  <c r="D96" i="2"/>
  <c r="C96" i="2"/>
  <c r="E96" i="2" s="1"/>
  <c r="B96" i="2"/>
  <c r="G96" i="2" s="1"/>
  <c r="K96" i="2" s="1"/>
  <c r="D95" i="2"/>
  <c r="C95" i="2"/>
  <c r="E95" i="2" s="1"/>
  <c r="B95" i="2"/>
  <c r="H95" i="2" s="1"/>
  <c r="D94" i="2"/>
  <c r="E94" i="2" s="1"/>
  <c r="C94" i="2"/>
  <c r="J94" i="2" s="1"/>
  <c r="B94" i="2"/>
  <c r="D93" i="2"/>
  <c r="C93" i="2"/>
  <c r="J93" i="2" s="1"/>
  <c r="B93" i="2"/>
  <c r="H92" i="2"/>
  <c r="G92" i="2"/>
  <c r="D92" i="2"/>
  <c r="C92" i="2"/>
  <c r="B92" i="2"/>
  <c r="H91" i="2"/>
  <c r="G91" i="2"/>
  <c r="D91" i="2"/>
  <c r="J91" i="2" s="1"/>
  <c r="C91" i="2"/>
  <c r="B91" i="2"/>
  <c r="J90" i="2"/>
  <c r="H90" i="2"/>
  <c r="G90" i="2"/>
  <c r="E90" i="2"/>
  <c r="D90" i="2"/>
  <c r="C90" i="2"/>
  <c r="B90" i="2"/>
  <c r="J89" i="2"/>
  <c r="H89" i="2"/>
  <c r="G89" i="2"/>
  <c r="K89" i="2" s="1"/>
  <c r="L88" i="2" s="1"/>
  <c r="E89" i="2"/>
  <c r="D89" i="2"/>
  <c r="C89" i="2"/>
  <c r="B89" i="2"/>
  <c r="J88" i="2"/>
  <c r="D88" i="2"/>
  <c r="C88" i="2"/>
  <c r="E88" i="2" s="1"/>
  <c r="B88" i="2"/>
  <c r="G88" i="2" s="1"/>
  <c r="K88" i="2" s="1"/>
  <c r="J87" i="2"/>
  <c r="D87" i="2"/>
  <c r="C87" i="2"/>
  <c r="E87" i="2" s="1"/>
  <c r="B87" i="2"/>
  <c r="H87" i="2" s="1"/>
  <c r="D86" i="2"/>
  <c r="E86" i="2" s="1"/>
  <c r="C86" i="2"/>
  <c r="J86" i="2" s="1"/>
  <c r="B86" i="2"/>
  <c r="E85" i="2"/>
  <c r="D85" i="2"/>
  <c r="C85" i="2"/>
  <c r="J85" i="2" s="1"/>
  <c r="B85" i="2"/>
  <c r="H84" i="2"/>
  <c r="G84" i="2"/>
  <c r="D84" i="2"/>
  <c r="C84" i="2"/>
  <c r="B84" i="2"/>
  <c r="H83" i="2"/>
  <c r="G83" i="2"/>
  <c r="D83" i="2"/>
  <c r="J83" i="2" s="1"/>
  <c r="C83" i="2"/>
  <c r="B83" i="2"/>
  <c r="J82" i="2"/>
  <c r="H82" i="2"/>
  <c r="G82" i="2"/>
  <c r="K82" i="2" s="1"/>
  <c r="E82" i="2"/>
  <c r="D82" i="2"/>
  <c r="C82" i="2"/>
  <c r="B82" i="2"/>
  <c r="K81" i="2"/>
  <c r="J81" i="2"/>
  <c r="H81" i="2"/>
  <c r="G81" i="2"/>
  <c r="E81" i="2"/>
  <c r="D81" i="2"/>
  <c r="C81" i="2"/>
  <c r="B81" i="2"/>
  <c r="L80" i="2"/>
  <c r="J80" i="2"/>
  <c r="D80" i="2"/>
  <c r="C80" i="2"/>
  <c r="E80" i="2" s="1"/>
  <c r="B80" i="2"/>
  <c r="G80" i="2" s="1"/>
  <c r="K80" i="2" s="1"/>
  <c r="J79" i="2"/>
  <c r="D79" i="2"/>
  <c r="C79" i="2"/>
  <c r="E79" i="2" s="1"/>
  <c r="B79" i="2"/>
  <c r="H79" i="2" s="1"/>
  <c r="D78" i="2"/>
  <c r="E78" i="2" s="1"/>
  <c r="C78" i="2"/>
  <c r="J78" i="2" s="1"/>
  <c r="B78" i="2"/>
  <c r="D77" i="2"/>
  <c r="C77" i="2"/>
  <c r="J77" i="2" s="1"/>
  <c r="B77" i="2"/>
  <c r="H76" i="2"/>
  <c r="G76" i="2"/>
  <c r="D76" i="2"/>
  <c r="C76" i="2"/>
  <c r="B76" i="2"/>
  <c r="H75" i="2"/>
  <c r="G75" i="2"/>
  <c r="D75" i="2"/>
  <c r="J75" i="2" s="1"/>
  <c r="C75" i="2"/>
  <c r="B75" i="2"/>
  <c r="J74" i="2"/>
  <c r="H74" i="2"/>
  <c r="G74" i="2"/>
  <c r="E74" i="2"/>
  <c r="D74" i="2"/>
  <c r="C74" i="2"/>
  <c r="B74" i="2"/>
  <c r="K73" i="2"/>
  <c r="J73" i="2"/>
  <c r="H73" i="2"/>
  <c r="G73" i="2"/>
  <c r="E73" i="2"/>
  <c r="D73" i="2"/>
  <c r="C73" i="2"/>
  <c r="B73" i="2"/>
  <c r="J72" i="2"/>
  <c r="D72" i="2"/>
  <c r="C72" i="2"/>
  <c r="E72" i="2" s="1"/>
  <c r="B72" i="2"/>
  <c r="G72" i="2" s="1"/>
  <c r="D71" i="2"/>
  <c r="C71" i="2"/>
  <c r="B71" i="2"/>
  <c r="H71" i="2" s="1"/>
  <c r="D70" i="2"/>
  <c r="E70" i="2" s="1"/>
  <c r="C70" i="2"/>
  <c r="J70" i="2" s="1"/>
  <c r="B70" i="2"/>
  <c r="E69" i="2"/>
  <c r="D69" i="2"/>
  <c r="C69" i="2"/>
  <c r="J69" i="2" s="1"/>
  <c r="B69" i="2"/>
  <c r="H68" i="2"/>
  <c r="G68" i="2"/>
  <c r="D68" i="2"/>
  <c r="C68" i="2"/>
  <c r="B68" i="2"/>
  <c r="H67" i="2"/>
  <c r="G67" i="2"/>
  <c r="D67" i="2"/>
  <c r="J67" i="2" s="1"/>
  <c r="C67" i="2"/>
  <c r="B67" i="2"/>
  <c r="J66" i="2"/>
  <c r="H66" i="2"/>
  <c r="G66" i="2"/>
  <c r="E66" i="2"/>
  <c r="D66" i="2"/>
  <c r="C66" i="2"/>
  <c r="B66" i="2"/>
  <c r="K65" i="2"/>
  <c r="J65" i="2"/>
  <c r="H65" i="2"/>
  <c r="G65" i="2"/>
  <c r="E65" i="2"/>
  <c r="D65" i="2"/>
  <c r="C65" i="2"/>
  <c r="B65" i="2"/>
  <c r="J64" i="2"/>
  <c r="H64" i="2"/>
  <c r="D64" i="2"/>
  <c r="C64" i="2"/>
  <c r="E64" i="2" s="1"/>
  <c r="B64" i="2"/>
  <c r="G64" i="2" s="1"/>
  <c r="D63" i="2"/>
  <c r="C63" i="2"/>
  <c r="E63" i="2" s="1"/>
  <c r="B63" i="2"/>
  <c r="H63" i="2" s="1"/>
  <c r="D62" i="2"/>
  <c r="E62" i="2" s="1"/>
  <c r="C62" i="2"/>
  <c r="B62" i="2"/>
  <c r="G61" i="2"/>
  <c r="K61" i="2" s="1"/>
  <c r="E61" i="2"/>
  <c r="D61" i="2"/>
  <c r="C61" i="2"/>
  <c r="J61" i="2" s="1"/>
  <c r="B61" i="2"/>
  <c r="H61" i="2" s="1"/>
  <c r="H60" i="2"/>
  <c r="G60" i="2"/>
  <c r="D60" i="2"/>
  <c r="C60" i="2"/>
  <c r="B60" i="2"/>
  <c r="H59" i="2"/>
  <c r="G59" i="2"/>
  <c r="D59" i="2"/>
  <c r="J59" i="2" s="1"/>
  <c r="C59" i="2"/>
  <c r="B59" i="2"/>
  <c r="K58" i="2"/>
  <c r="J58" i="2"/>
  <c r="H58" i="2"/>
  <c r="G58" i="2"/>
  <c r="E58" i="2"/>
  <c r="D58" i="2"/>
  <c r="C58" i="2"/>
  <c r="B58" i="2"/>
  <c r="J57" i="2"/>
  <c r="E57" i="2"/>
  <c r="D57" i="2"/>
  <c r="C57" i="2"/>
  <c r="B57" i="2"/>
  <c r="D56" i="2"/>
  <c r="C56" i="2"/>
  <c r="E56" i="2" s="1"/>
  <c r="B56" i="2"/>
  <c r="G56" i="2" s="1"/>
  <c r="J55" i="2"/>
  <c r="D55" i="2"/>
  <c r="C55" i="2"/>
  <c r="E55" i="2" s="1"/>
  <c r="B55" i="2"/>
  <c r="H55" i="2" s="1"/>
  <c r="D54" i="2"/>
  <c r="E54" i="2" s="1"/>
  <c r="C54" i="2"/>
  <c r="J54" i="2" s="1"/>
  <c r="B54" i="2"/>
  <c r="D53" i="2"/>
  <c r="C53" i="2"/>
  <c r="J53" i="2" s="1"/>
  <c r="B53" i="2"/>
  <c r="H53" i="2" s="1"/>
  <c r="H52" i="2"/>
  <c r="G52" i="2"/>
  <c r="D52" i="2"/>
  <c r="E52" i="2" s="1"/>
  <c r="C52" i="2"/>
  <c r="B52" i="2"/>
  <c r="J51" i="2"/>
  <c r="H51" i="2"/>
  <c r="G51" i="2"/>
  <c r="K51" i="2" s="1"/>
  <c r="D51" i="2"/>
  <c r="E51" i="2" s="1"/>
  <c r="C51" i="2"/>
  <c r="B51" i="2"/>
  <c r="J50" i="2"/>
  <c r="H50" i="2"/>
  <c r="G50" i="2"/>
  <c r="K50" i="2" s="1"/>
  <c r="L49" i="2" s="1"/>
  <c r="E50" i="2"/>
  <c r="D50" i="2"/>
  <c r="C50" i="2"/>
  <c r="B50" i="2"/>
  <c r="J49" i="2"/>
  <c r="H49" i="2"/>
  <c r="E49" i="2"/>
  <c r="D49" i="2"/>
  <c r="C49" i="2"/>
  <c r="B49" i="2"/>
  <c r="G49" i="2" s="1"/>
  <c r="K49" i="2" s="1"/>
  <c r="J48" i="2"/>
  <c r="K48" i="2" s="1"/>
  <c r="D48" i="2"/>
  <c r="C48" i="2"/>
  <c r="E48" i="2" s="1"/>
  <c r="B48" i="2"/>
  <c r="G48" i="2" s="1"/>
  <c r="D47" i="2"/>
  <c r="J47" i="2" s="1"/>
  <c r="C47" i="2"/>
  <c r="B47" i="2"/>
  <c r="G46" i="2"/>
  <c r="D46" i="2"/>
  <c r="C46" i="2"/>
  <c r="B46" i="2"/>
  <c r="H46" i="2" s="1"/>
  <c r="D45" i="2"/>
  <c r="C45" i="2"/>
  <c r="J45" i="2" s="1"/>
  <c r="B45" i="2"/>
  <c r="H44" i="2"/>
  <c r="G44" i="2"/>
  <c r="D44" i="2"/>
  <c r="C44" i="2"/>
  <c r="J44" i="2" s="1"/>
  <c r="B44" i="2"/>
  <c r="K43" i="2"/>
  <c r="H43" i="2"/>
  <c r="G43" i="2"/>
  <c r="D43" i="2"/>
  <c r="C43" i="2"/>
  <c r="J43" i="2" s="1"/>
  <c r="B43" i="2"/>
  <c r="D42" i="2"/>
  <c r="J42" i="2" s="1"/>
  <c r="C42" i="2"/>
  <c r="B42" i="2"/>
  <c r="H41" i="2"/>
  <c r="G41" i="2"/>
  <c r="D41" i="2"/>
  <c r="C41" i="2"/>
  <c r="B41" i="2"/>
  <c r="H40" i="2"/>
  <c r="G40" i="2"/>
  <c r="D40" i="2"/>
  <c r="C40" i="2"/>
  <c r="B40" i="2"/>
  <c r="H39" i="2"/>
  <c r="D39" i="2"/>
  <c r="C39" i="2"/>
  <c r="B39" i="2"/>
  <c r="G39" i="2" s="1"/>
  <c r="G38" i="2"/>
  <c r="D38" i="2"/>
  <c r="C38" i="2"/>
  <c r="B38" i="2"/>
  <c r="H38" i="2" s="1"/>
  <c r="H37" i="2"/>
  <c r="G37" i="2"/>
  <c r="D37" i="2"/>
  <c r="C37" i="2"/>
  <c r="B37" i="2"/>
  <c r="H36" i="2"/>
  <c r="G36" i="2"/>
  <c r="D36" i="2"/>
  <c r="C36" i="2"/>
  <c r="B36" i="2"/>
  <c r="H35" i="2"/>
  <c r="G35" i="2"/>
  <c r="D35" i="2"/>
  <c r="C35" i="2"/>
  <c r="B35" i="2"/>
  <c r="H34" i="2"/>
  <c r="G34" i="2"/>
  <c r="D34" i="2"/>
  <c r="E34" i="2" s="1"/>
  <c r="C34" i="2"/>
  <c r="J34" i="2" s="1"/>
  <c r="B34" i="2"/>
  <c r="J33" i="2"/>
  <c r="H33" i="2"/>
  <c r="G33" i="2"/>
  <c r="K33" i="2" s="1"/>
  <c r="E33" i="2"/>
  <c r="D33" i="2"/>
  <c r="C33" i="2"/>
  <c r="B33" i="2"/>
  <c r="J32" i="2"/>
  <c r="H32" i="2"/>
  <c r="G32" i="2"/>
  <c r="K32" i="2" s="1"/>
  <c r="D32" i="2"/>
  <c r="C32" i="2"/>
  <c r="E32" i="2" s="1"/>
  <c r="B32" i="2"/>
  <c r="J31" i="2"/>
  <c r="H31" i="2"/>
  <c r="D31" i="2"/>
  <c r="E31" i="2" s="1"/>
  <c r="C31" i="2"/>
  <c r="B31" i="2"/>
  <c r="G31" i="2" s="1"/>
  <c r="K31" i="2" s="1"/>
  <c r="J30" i="2"/>
  <c r="D30" i="2"/>
  <c r="C30" i="2"/>
  <c r="E30" i="2" s="1"/>
  <c r="B30" i="2"/>
  <c r="H30" i="2" s="1"/>
  <c r="D29" i="2"/>
  <c r="C29" i="2"/>
  <c r="J29" i="2" s="1"/>
  <c r="B29" i="2"/>
  <c r="D28" i="2"/>
  <c r="C28" i="2"/>
  <c r="B28" i="2"/>
  <c r="H27" i="2"/>
  <c r="G27" i="2"/>
  <c r="D27" i="2"/>
  <c r="C27" i="2"/>
  <c r="B27" i="2"/>
  <c r="H26" i="2"/>
  <c r="G26" i="2"/>
  <c r="D26" i="2"/>
  <c r="E26" i="2" s="1"/>
  <c r="C26" i="2"/>
  <c r="J26" i="2" s="1"/>
  <c r="B26" i="2"/>
  <c r="J25" i="2"/>
  <c r="H25" i="2"/>
  <c r="G25" i="2"/>
  <c r="K25" i="2" s="1"/>
  <c r="E25" i="2"/>
  <c r="D25" i="2"/>
  <c r="C25" i="2"/>
  <c r="B25" i="2"/>
  <c r="J24" i="2"/>
  <c r="H24" i="2"/>
  <c r="G24" i="2"/>
  <c r="D24" i="2"/>
  <c r="C24" i="2"/>
  <c r="E24" i="2" s="1"/>
  <c r="B24" i="2"/>
  <c r="J23" i="2"/>
  <c r="K23" i="2" s="1"/>
  <c r="H23" i="2"/>
  <c r="D23" i="2"/>
  <c r="E23" i="2" s="1"/>
  <c r="C23" i="2"/>
  <c r="B23" i="2"/>
  <c r="G23" i="2" s="1"/>
  <c r="J22" i="2"/>
  <c r="D22" i="2"/>
  <c r="C22" i="2"/>
  <c r="E22" i="2" s="1"/>
  <c r="B22" i="2"/>
  <c r="D21" i="2"/>
  <c r="C21" i="2"/>
  <c r="B21" i="2"/>
  <c r="D20" i="2"/>
  <c r="C20" i="2"/>
  <c r="B20" i="2"/>
  <c r="H19" i="2"/>
  <c r="G19" i="2"/>
  <c r="D19" i="2"/>
  <c r="C19" i="2"/>
  <c r="B19" i="2"/>
  <c r="H18" i="2"/>
  <c r="G18" i="2"/>
  <c r="D18" i="2"/>
  <c r="J18" i="2" s="1"/>
  <c r="C18" i="2"/>
  <c r="B18" i="2"/>
  <c r="J17" i="2"/>
  <c r="H17" i="2"/>
  <c r="G17" i="2"/>
  <c r="E17" i="2"/>
  <c r="D17" i="2"/>
  <c r="C17" i="2"/>
  <c r="B17" i="2"/>
  <c r="J16" i="2"/>
  <c r="K16" i="2" s="1"/>
  <c r="H16" i="2"/>
  <c r="G16" i="2"/>
  <c r="D16" i="2"/>
  <c r="C16" i="2"/>
  <c r="E16" i="2" s="1"/>
  <c r="B16" i="2"/>
  <c r="J15" i="2"/>
  <c r="K15" i="2" s="1"/>
  <c r="D15" i="2"/>
  <c r="E15" i="2" s="1"/>
  <c r="C15" i="2"/>
  <c r="B15" i="2"/>
  <c r="G15" i="2" s="1"/>
  <c r="J14" i="2"/>
  <c r="D14" i="2"/>
  <c r="C14" i="2"/>
  <c r="E14" i="2" s="1"/>
  <c r="B14" i="2"/>
  <c r="D13" i="2"/>
  <c r="C13" i="2"/>
  <c r="B13" i="2"/>
  <c r="E12" i="2"/>
  <c r="D12" i="2"/>
  <c r="C12" i="2"/>
  <c r="B12" i="2"/>
  <c r="H11" i="2"/>
  <c r="G11" i="2"/>
  <c r="D11" i="2"/>
  <c r="E11" i="2" s="1"/>
  <c r="C11" i="2"/>
  <c r="B11" i="2"/>
  <c r="H10" i="2"/>
  <c r="G10" i="2"/>
  <c r="K10" i="2" s="1"/>
  <c r="E10" i="2"/>
  <c r="D10" i="2"/>
  <c r="J10" i="2" s="1"/>
  <c r="C10" i="2"/>
  <c r="B10" i="2"/>
  <c r="J9" i="2"/>
  <c r="H9" i="2"/>
  <c r="G9" i="2"/>
  <c r="E9" i="2"/>
  <c r="D9" i="2"/>
  <c r="C9" i="2"/>
  <c r="B9" i="2"/>
  <c r="K8" i="2"/>
  <c r="L7" i="2" s="1"/>
  <c r="J8" i="2"/>
  <c r="H8" i="2"/>
  <c r="G8" i="2"/>
  <c r="D8" i="2"/>
  <c r="C8" i="2"/>
  <c r="E8" i="2" s="1"/>
  <c r="B8" i="2"/>
  <c r="K7" i="2"/>
  <c r="J7" i="2"/>
  <c r="D7" i="2"/>
  <c r="E7" i="2" s="1"/>
  <c r="C7" i="2"/>
  <c r="B7" i="2"/>
  <c r="G7" i="2" s="1"/>
  <c r="J6" i="2"/>
  <c r="D6" i="2"/>
  <c r="C6" i="2"/>
  <c r="E6" i="2" s="1"/>
  <c r="B6" i="2"/>
  <c r="D5" i="2"/>
  <c r="C5" i="2"/>
  <c r="B5" i="2"/>
  <c r="D4" i="2"/>
  <c r="C4" i="2"/>
  <c r="J4" i="2" s="1"/>
  <c r="B4" i="2"/>
  <c r="H3" i="2"/>
  <c r="G3" i="2"/>
  <c r="E3" i="2"/>
  <c r="D3" i="2"/>
  <c r="C3" i="2"/>
  <c r="B3" i="2"/>
  <c r="AW51" i="1"/>
  <c r="BD51" i="1" s="1"/>
  <c r="BB51" i="1" s="1"/>
  <c r="BC51" i="1" s="1"/>
  <c r="BE51" i="1" s="1"/>
  <c r="AH51" i="1"/>
  <c r="AO51" i="1" s="1"/>
  <c r="AM51" i="1" s="1"/>
  <c r="AN51" i="1" s="1"/>
  <c r="AP51" i="1" s="1"/>
  <c r="AG51" i="1"/>
  <c r="AK51" i="1" s="1"/>
  <c r="U51" i="1"/>
  <c r="V51" i="1" s="1"/>
  <c r="W51" i="1" s="1"/>
  <c r="M51" i="1"/>
  <c r="AW50" i="1"/>
  <c r="BD50" i="1" s="1"/>
  <c r="BB50" i="1" s="1"/>
  <c r="BC50" i="1" s="1"/>
  <c r="BE50" i="1" s="1"/>
  <c r="AH50" i="1"/>
  <c r="AO50" i="1" s="1"/>
  <c r="AM50" i="1" s="1"/>
  <c r="AN50" i="1" s="1"/>
  <c r="AP50" i="1" s="1"/>
  <c r="AG50" i="1"/>
  <c r="AK50" i="1" s="1"/>
  <c r="U50" i="1"/>
  <c r="V50" i="1" s="1"/>
  <c r="W50" i="1" s="1"/>
  <c r="M50" i="1"/>
  <c r="AW49" i="1"/>
  <c r="BD49" i="1" s="1"/>
  <c r="BB49" i="1" s="1"/>
  <c r="BC49" i="1" s="1"/>
  <c r="BE49" i="1" s="1"/>
  <c r="AH49" i="1"/>
  <c r="AO49" i="1" s="1"/>
  <c r="AM49" i="1" s="1"/>
  <c r="AN49" i="1" s="1"/>
  <c r="AP49" i="1" s="1"/>
  <c r="AG49" i="1"/>
  <c r="AK49" i="1" s="1"/>
  <c r="U49" i="1"/>
  <c r="V49" i="1" s="1"/>
  <c r="W49" i="1" s="1"/>
  <c r="M49" i="1"/>
  <c r="AW48" i="1"/>
  <c r="BD48" i="1" s="1"/>
  <c r="BB48" i="1" s="1"/>
  <c r="BC48" i="1" s="1"/>
  <c r="BE48" i="1" s="1"/>
  <c r="AH48" i="1"/>
  <c r="AO48" i="1" s="1"/>
  <c r="AM48" i="1" s="1"/>
  <c r="AN48" i="1" s="1"/>
  <c r="AP48" i="1" s="1"/>
  <c r="AG48" i="1"/>
  <c r="AK48" i="1" s="1"/>
  <c r="AI48" i="1" s="1"/>
  <c r="AJ48" i="1" s="1"/>
  <c r="AL48" i="1" s="1"/>
  <c r="U48" i="1"/>
  <c r="V48" i="1" s="1"/>
  <c r="W48" i="1" s="1"/>
  <c r="M48" i="1"/>
  <c r="AW47" i="1"/>
  <c r="BD47" i="1" s="1"/>
  <c r="BB47" i="1" s="1"/>
  <c r="BC47" i="1" s="1"/>
  <c r="BE47" i="1" s="1"/>
  <c r="AH47" i="1"/>
  <c r="AO47" i="1" s="1"/>
  <c r="AM47" i="1" s="1"/>
  <c r="AN47" i="1" s="1"/>
  <c r="AP47" i="1" s="1"/>
  <c r="AG47" i="1"/>
  <c r="AK47" i="1" s="1"/>
  <c r="U47" i="1"/>
  <c r="V47" i="1" s="1"/>
  <c r="W47" i="1" s="1"/>
  <c r="M47" i="1"/>
  <c r="AW46" i="1"/>
  <c r="BD46" i="1" s="1"/>
  <c r="BB46" i="1" s="1"/>
  <c r="BC46" i="1" s="1"/>
  <c r="BE46" i="1" s="1"/>
  <c r="AH46" i="1"/>
  <c r="AO46" i="1" s="1"/>
  <c r="AM46" i="1" s="1"/>
  <c r="AN46" i="1" s="1"/>
  <c r="AP46" i="1" s="1"/>
  <c r="AG46" i="1"/>
  <c r="AK46" i="1" s="1"/>
  <c r="U46" i="1"/>
  <c r="V46" i="1" s="1"/>
  <c r="W46" i="1" s="1"/>
  <c r="M46" i="1"/>
  <c r="AW45" i="1"/>
  <c r="BD45" i="1" s="1"/>
  <c r="BB45" i="1" s="1"/>
  <c r="BC45" i="1" s="1"/>
  <c r="BE45" i="1" s="1"/>
  <c r="AH45" i="1"/>
  <c r="AO45" i="1" s="1"/>
  <c r="AM45" i="1" s="1"/>
  <c r="AN45" i="1" s="1"/>
  <c r="AP45" i="1" s="1"/>
  <c r="AG45" i="1"/>
  <c r="AK45" i="1" s="1"/>
  <c r="U45" i="1"/>
  <c r="V45" i="1" s="1"/>
  <c r="W45" i="1" s="1"/>
  <c r="M45" i="1"/>
  <c r="AW44" i="1"/>
  <c r="BD44" i="1" s="1"/>
  <c r="BB44" i="1" s="1"/>
  <c r="BC44" i="1" s="1"/>
  <c r="BE44" i="1" s="1"/>
  <c r="AH44" i="1"/>
  <c r="AO44" i="1" s="1"/>
  <c r="AM44" i="1" s="1"/>
  <c r="AN44" i="1" s="1"/>
  <c r="AP44" i="1" s="1"/>
  <c r="AG44" i="1"/>
  <c r="AK44" i="1" s="1"/>
  <c r="AI44" i="1" s="1"/>
  <c r="AJ44" i="1" s="1"/>
  <c r="AL44" i="1" s="1"/>
  <c r="U44" i="1"/>
  <c r="V44" i="1" s="1"/>
  <c r="W44" i="1" s="1"/>
  <c r="M44" i="1"/>
  <c r="AW43" i="1"/>
  <c r="BD43" i="1" s="1"/>
  <c r="BB43" i="1" s="1"/>
  <c r="BC43" i="1" s="1"/>
  <c r="BE43" i="1" s="1"/>
  <c r="AH43" i="1"/>
  <c r="AO43" i="1" s="1"/>
  <c r="AM43" i="1" s="1"/>
  <c r="AN43" i="1" s="1"/>
  <c r="AP43" i="1" s="1"/>
  <c r="AG43" i="1"/>
  <c r="AK43" i="1" s="1"/>
  <c r="V43" i="1"/>
  <c r="W43" i="1" s="1"/>
  <c r="U43" i="1"/>
  <c r="M43" i="1"/>
  <c r="AW42" i="1"/>
  <c r="BD42" i="1" s="1"/>
  <c r="BB42" i="1" s="1"/>
  <c r="BC42" i="1" s="1"/>
  <c r="BE42" i="1" s="1"/>
  <c r="AH42" i="1"/>
  <c r="AO42" i="1" s="1"/>
  <c r="AM42" i="1" s="1"/>
  <c r="AN42" i="1" s="1"/>
  <c r="AP42" i="1" s="1"/>
  <c r="AG42" i="1"/>
  <c r="AK42" i="1" s="1"/>
  <c r="AI42" i="1" s="1"/>
  <c r="AJ42" i="1" s="1"/>
  <c r="AL42" i="1" s="1"/>
  <c r="V42" i="1"/>
  <c r="W42" i="1" s="1"/>
  <c r="U42" i="1"/>
  <c r="M42" i="1"/>
  <c r="AW41" i="1"/>
  <c r="BD41" i="1" s="1"/>
  <c r="BB41" i="1" s="1"/>
  <c r="BC41" i="1" s="1"/>
  <c r="BE41" i="1" s="1"/>
  <c r="AH41" i="1"/>
  <c r="AO41" i="1" s="1"/>
  <c r="AM41" i="1" s="1"/>
  <c r="AN41" i="1" s="1"/>
  <c r="AP41" i="1" s="1"/>
  <c r="AG41" i="1"/>
  <c r="AK41" i="1" s="1"/>
  <c r="V41" i="1"/>
  <c r="W41" i="1" s="1"/>
  <c r="U41" i="1"/>
  <c r="M41" i="1"/>
  <c r="AW40" i="1"/>
  <c r="BD40" i="1" s="1"/>
  <c r="BB40" i="1" s="1"/>
  <c r="BC40" i="1" s="1"/>
  <c r="BE40" i="1" s="1"/>
  <c r="AH40" i="1"/>
  <c r="AO40" i="1" s="1"/>
  <c r="AM40" i="1" s="1"/>
  <c r="AN40" i="1" s="1"/>
  <c r="AP40" i="1" s="1"/>
  <c r="AG40" i="1"/>
  <c r="AK40" i="1" s="1"/>
  <c r="AI40" i="1" s="1"/>
  <c r="AJ40" i="1" s="1"/>
  <c r="AL40" i="1" s="1"/>
  <c r="V40" i="1"/>
  <c r="W40" i="1" s="1"/>
  <c r="U40" i="1"/>
  <c r="M40" i="1"/>
  <c r="AW39" i="1"/>
  <c r="BD39" i="1" s="1"/>
  <c r="BB39" i="1" s="1"/>
  <c r="BC39" i="1" s="1"/>
  <c r="BE39" i="1" s="1"/>
  <c r="AV39" i="1"/>
  <c r="AZ39" i="1" s="1"/>
  <c r="AX39" i="1" s="1"/>
  <c r="AY39" i="1" s="1"/>
  <c r="BA39" i="1" s="1"/>
  <c r="AH39" i="1"/>
  <c r="AO39" i="1" s="1"/>
  <c r="AM39" i="1" s="1"/>
  <c r="AN39" i="1" s="1"/>
  <c r="AP39" i="1" s="1"/>
  <c r="AG39" i="1"/>
  <c r="AK39" i="1" s="1"/>
  <c r="U39" i="1"/>
  <c r="V39" i="1" s="1"/>
  <c r="W39" i="1" s="1"/>
  <c r="M39" i="1"/>
  <c r="AW38" i="1"/>
  <c r="BD38" i="1" s="1"/>
  <c r="BB38" i="1" s="1"/>
  <c r="BC38" i="1" s="1"/>
  <c r="BE38" i="1" s="1"/>
  <c r="AH38" i="1"/>
  <c r="AO38" i="1" s="1"/>
  <c r="AM38" i="1" s="1"/>
  <c r="AN38" i="1" s="1"/>
  <c r="AP38" i="1" s="1"/>
  <c r="AG38" i="1"/>
  <c r="AK38" i="1" s="1"/>
  <c r="U38" i="1"/>
  <c r="V38" i="1" s="1"/>
  <c r="W38" i="1" s="1"/>
  <c r="M38" i="1"/>
  <c r="AW37" i="1"/>
  <c r="BD37" i="1" s="1"/>
  <c r="BB37" i="1" s="1"/>
  <c r="BC37" i="1" s="1"/>
  <c r="BE37" i="1" s="1"/>
  <c r="AV37" i="1"/>
  <c r="AZ37" i="1" s="1"/>
  <c r="AH37" i="1"/>
  <c r="AO37" i="1" s="1"/>
  <c r="AM37" i="1" s="1"/>
  <c r="AN37" i="1" s="1"/>
  <c r="AP37" i="1" s="1"/>
  <c r="AG37" i="1"/>
  <c r="AK37" i="1" s="1"/>
  <c r="V37" i="1"/>
  <c r="W37" i="1" s="1"/>
  <c r="U37" i="1"/>
  <c r="M37" i="1"/>
  <c r="AW36" i="1"/>
  <c r="BD36" i="1" s="1"/>
  <c r="BB36" i="1" s="1"/>
  <c r="BC36" i="1" s="1"/>
  <c r="BE36" i="1" s="1"/>
  <c r="AH36" i="1"/>
  <c r="AO36" i="1" s="1"/>
  <c r="AM36" i="1" s="1"/>
  <c r="AN36" i="1" s="1"/>
  <c r="AP36" i="1" s="1"/>
  <c r="AG36" i="1"/>
  <c r="AK36" i="1" s="1"/>
  <c r="U36" i="1"/>
  <c r="V36" i="1" s="1"/>
  <c r="W36" i="1" s="1"/>
  <c r="M36" i="1"/>
  <c r="AW35" i="1"/>
  <c r="BD35" i="1" s="1"/>
  <c r="BB35" i="1" s="1"/>
  <c r="BC35" i="1" s="1"/>
  <c r="BE35" i="1" s="1"/>
  <c r="AH35" i="1"/>
  <c r="AO35" i="1" s="1"/>
  <c r="AM35" i="1" s="1"/>
  <c r="AN35" i="1" s="1"/>
  <c r="AP35" i="1" s="1"/>
  <c r="AG35" i="1"/>
  <c r="AK35" i="1" s="1"/>
  <c r="U35" i="1"/>
  <c r="V35" i="1" s="1"/>
  <c r="W35" i="1" s="1"/>
  <c r="M35" i="1"/>
  <c r="AW34" i="1"/>
  <c r="BD34" i="1" s="1"/>
  <c r="BB34" i="1" s="1"/>
  <c r="BC34" i="1" s="1"/>
  <c r="BE34" i="1" s="1"/>
  <c r="AV34" i="1"/>
  <c r="AZ34" i="1" s="1"/>
  <c r="AH34" i="1"/>
  <c r="AO34" i="1" s="1"/>
  <c r="AM34" i="1" s="1"/>
  <c r="AN34" i="1" s="1"/>
  <c r="AP34" i="1" s="1"/>
  <c r="AG34" i="1"/>
  <c r="AK34" i="1" s="1"/>
  <c r="AI34" i="1" s="1"/>
  <c r="AJ34" i="1" s="1"/>
  <c r="AL34" i="1" s="1"/>
  <c r="U34" i="1"/>
  <c r="V34" i="1" s="1"/>
  <c r="W34" i="1" s="1"/>
  <c r="M34" i="1"/>
  <c r="AW33" i="1"/>
  <c r="BD33" i="1" s="1"/>
  <c r="BB33" i="1" s="1"/>
  <c r="BC33" i="1" s="1"/>
  <c r="BE33" i="1" s="1"/>
  <c r="AV33" i="1"/>
  <c r="AZ33" i="1" s="1"/>
  <c r="AX33" i="1" s="1"/>
  <c r="AY33" i="1" s="1"/>
  <c r="BA33" i="1" s="1"/>
  <c r="AH33" i="1"/>
  <c r="AO33" i="1" s="1"/>
  <c r="AM33" i="1" s="1"/>
  <c r="AN33" i="1" s="1"/>
  <c r="AP33" i="1" s="1"/>
  <c r="AG33" i="1"/>
  <c r="AK33" i="1" s="1"/>
  <c r="U33" i="1"/>
  <c r="V33" i="1" s="1"/>
  <c r="W33" i="1" s="1"/>
  <c r="M33" i="1"/>
  <c r="AW32" i="1"/>
  <c r="BD32" i="1" s="1"/>
  <c r="BB32" i="1" s="1"/>
  <c r="BC32" i="1" s="1"/>
  <c r="BE32" i="1" s="1"/>
  <c r="AV32" i="1"/>
  <c r="AZ32" i="1" s="1"/>
  <c r="AH32" i="1"/>
  <c r="AO32" i="1" s="1"/>
  <c r="AM32" i="1" s="1"/>
  <c r="AN32" i="1" s="1"/>
  <c r="AP32" i="1" s="1"/>
  <c r="AG32" i="1"/>
  <c r="AK32" i="1" s="1"/>
  <c r="U32" i="1"/>
  <c r="V32" i="1" s="1"/>
  <c r="W32" i="1" s="1"/>
  <c r="M32" i="1"/>
  <c r="AW31" i="1"/>
  <c r="BD31" i="1" s="1"/>
  <c r="BB31" i="1" s="1"/>
  <c r="BC31" i="1" s="1"/>
  <c r="BE31" i="1" s="1"/>
  <c r="AV31" i="1"/>
  <c r="AZ31" i="1" s="1"/>
  <c r="AH31" i="1"/>
  <c r="AO31" i="1" s="1"/>
  <c r="AM31" i="1" s="1"/>
  <c r="AN31" i="1" s="1"/>
  <c r="AP31" i="1" s="1"/>
  <c r="AG31" i="1"/>
  <c r="AK31" i="1" s="1"/>
  <c r="U31" i="1"/>
  <c r="V31" i="1" s="1"/>
  <c r="W31" i="1" s="1"/>
  <c r="M31" i="1"/>
  <c r="AW30" i="1"/>
  <c r="BD30" i="1" s="1"/>
  <c r="BB30" i="1" s="1"/>
  <c r="BC30" i="1" s="1"/>
  <c r="BE30" i="1" s="1"/>
  <c r="AV30" i="1"/>
  <c r="AZ30" i="1" s="1"/>
  <c r="AH30" i="1"/>
  <c r="AO30" i="1" s="1"/>
  <c r="AM30" i="1" s="1"/>
  <c r="AN30" i="1" s="1"/>
  <c r="AP30" i="1" s="1"/>
  <c r="AG30" i="1"/>
  <c r="AK30" i="1" s="1"/>
  <c r="U30" i="1"/>
  <c r="V30" i="1" s="1"/>
  <c r="W30" i="1" s="1"/>
  <c r="M30" i="1"/>
  <c r="AW29" i="1"/>
  <c r="BD29" i="1" s="1"/>
  <c r="BB29" i="1" s="1"/>
  <c r="BC29" i="1" s="1"/>
  <c r="BE29" i="1" s="1"/>
  <c r="AV29" i="1"/>
  <c r="AZ29" i="1" s="1"/>
  <c r="AX29" i="1" s="1"/>
  <c r="AY29" i="1" s="1"/>
  <c r="BA29" i="1" s="1"/>
  <c r="AH29" i="1"/>
  <c r="AO29" i="1" s="1"/>
  <c r="AM29" i="1" s="1"/>
  <c r="AN29" i="1" s="1"/>
  <c r="AP29" i="1" s="1"/>
  <c r="AG29" i="1"/>
  <c r="AK29" i="1" s="1"/>
  <c r="U29" i="1"/>
  <c r="V29" i="1" s="1"/>
  <c r="W29" i="1" s="1"/>
  <c r="M29" i="1"/>
  <c r="AW28" i="1"/>
  <c r="BD28" i="1" s="1"/>
  <c r="BB28" i="1" s="1"/>
  <c r="BC28" i="1" s="1"/>
  <c r="BE28" i="1" s="1"/>
  <c r="AV28" i="1"/>
  <c r="AZ28" i="1" s="1"/>
  <c r="AH28" i="1"/>
  <c r="AO28" i="1" s="1"/>
  <c r="AM28" i="1" s="1"/>
  <c r="AN28" i="1" s="1"/>
  <c r="AP28" i="1" s="1"/>
  <c r="AG28" i="1"/>
  <c r="AK28" i="1" s="1"/>
  <c r="AI28" i="1" s="1"/>
  <c r="AJ28" i="1" s="1"/>
  <c r="AL28" i="1" s="1"/>
  <c r="U28" i="1"/>
  <c r="V28" i="1" s="1"/>
  <c r="W28" i="1" s="1"/>
  <c r="M28" i="1"/>
  <c r="AW27" i="1"/>
  <c r="BD27" i="1" s="1"/>
  <c r="BB27" i="1" s="1"/>
  <c r="BC27" i="1" s="1"/>
  <c r="BE27" i="1" s="1"/>
  <c r="AV27" i="1"/>
  <c r="AZ27" i="1" s="1"/>
  <c r="AH27" i="1"/>
  <c r="AO27" i="1" s="1"/>
  <c r="AM27" i="1" s="1"/>
  <c r="AN27" i="1" s="1"/>
  <c r="AP27" i="1" s="1"/>
  <c r="AG27" i="1"/>
  <c r="AK27" i="1" s="1"/>
  <c r="AI27" i="1" s="1"/>
  <c r="AJ27" i="1" s="1"/>
  <c r="AL27" i="1" s="1"/>
  <c r="U27" i="1"/>
  <c r="V27" i="1" s="1"/>
  <c r="W27" i="1" s="1"/>
  <c r="M27" i="1"/>
  <c r="AW26" i="1"/>
  <c r="BD26" i="1" s="1"/>
  <c r="BB26" i="1" s="1"/>
  <c r="BC26" i="1" s="1"/>
  <c r="BE26" i="1" s="1"/>
  <c r="AV26" i="1"/>
  <c r="AZ26" i="1" s="1"/>
  <c r="AH26" i="1"/>
  <c r="AO26" i="1" s="1"/>
  <c r="AM26" i="1" s="1"/>
  <c r="AN26" i="1" s="1"/>
  <c r="AP26" i="1" s="1"/>
  <c r="AG26" i="1"/>
  <c r="AK26" i="1" s="1"/>
  <c r="U26" i="1"/>
  <c r="V26" i="1" s="1"/>
  <c r="W26" i="1" s="1"/>
  <c r="M26" i="1"/>
  <c r="AW25" i="1"/>
  <c r="BD25" i="1" s="1"/>
  <c r="BB25" i="1" s="1"/>
  <c r="BC25" i="1" s="1"/>
  <c r="BE25" i="1" s="1"/>
  <c r="AV25" i="1"/>
  <c r="AZ25" i="1" s="1"/>
  <c r="AX25" i="1" s="1"/>
  <c r="AY25" i="1" s="1"/>
  <c r="BA25" i="1" s="1"/>
  <c r="AH25" i="1"/>
  <c r="AO25" i="1" s="1"/>
  <c r="AM25" i="1" s="1"/>
  <c r="AN25" i="1" s="1"/>
  <c r="AP25" i="1" s="1"/>
  <c r="AG25" i="1"/>
  <c r="AK25" i="1" s="1"/>
  <c r="U25" i="1"/>
  <c r="V25" i="1" s="1"/>
  <c r="W25" i="1" s="1"/>
  <c r="M25" i="1"/>
  <c r="AW24" i="1"/>
  <c r="BD24" i="1" s="1"/>
  <c r="BB24" i="1" s="1"/>
  <c r="BC24" i="1" s="1"/>
  <c r="BE24" i="1" s="1"/>
  <c r="AV24" i="1"/>
  <c r="AZ24" i="1" s="1"/>
  <c r="AH24" i="1"/>
  <c r="AO24" i="1" s="1"/>
  <c r="AM24" i="1" s="1"/>
  <c r="AN24" i="1" s="1"/>
  <c r="AP24" i="1" s="1"/>
  <c r="AG24" i="1"/>
  <c r="AK24" i="1" s="1"/>
  <c r="U24" i="1"/>
  <c r="V24" i="1" s="1"/>
  <c r="W24" i="1" s="1"/>
  <c r="M24" i="1"/>
  <c r="AW23" i="1"/>
  <c r="BD23" i="1" s="1"/>
  <c r="BB23" i="1" s="1"/>
  <c r="BC23" i="1" s="1"/>
  <c r="BE23" i="1" s="1"/>
  <c r="AV23" i="1"/>
  <c r="AZ23" i="1" s="1"/>
  <c r="AH23" i="1"/>
  <c r="AO23" i="1" s="1"/>
  <c r="AM23" i="1" s="1"/>
  <c r="AN23" i="1" s="1"/>
  <c r="AP23" i="1" s="1"/>
  <c r="AG23" i="1"/>
  <c r="AK23" i="1" s="1"/>
  <c r="V23" i="1"/>
  <c r="W23" i="1" s="1"/>
  <c r="U23" i="1"/>
  <c r="M23" i="1"/>
  <c r="AW22" i="1"/>
  <c r="BD22" i="1" s="1"/>
  <c r="BB22" i="1" s="1"/>
  <c r="BC22" i="1" s="1"/>
  <c r="BE22" i="1" s="1"/>
  <c r="AV22" i="1"/>
  <c r="AZ22" i="1" s="1"/>
  <c r="AH22" i="1"/>
  <c r="AO22" i="1" s="1"/>
  <c r="AM22" i="1" s="1"/>
  <c r="AN22" i="1" s="1"/>
  <c r="AP22" i="1" s="1"/>
  <c r="AG22" i="1"/>
  <c r="AK22" i="1" s="1"/>
  <c r="U22" i="1"/>
  <c r="V22" i="1" s="1"/>
  <c r="W22" i="1" s="1"/>
  <c r="M22" i="1"/>
  <c r="U17" i="1"/>
  <c r="I17" i="1"/>
  <c r="U16" i="1"/>
  <c r="I16" i="1"/>
  <c r="U15" i="1"/>
  <c r="I15" i="1"/>
  <c r="U14" i="1"/>
  <c r="I14" i="1"/>
  <c r="U13" i="1"/>
  <c r="I13" i="1"/>
  <c r="U12" i="1"/>
  <c r="I12" i="1"/>
  <c r="U11" i="1"/>
  <c r="I11" i="1"/>
  <c r="U10" i="1"/>
  <c r="I10" i="1"/>
  <c r="U9" i="1"/>
  <c r="I9" i="1"/>
  <c r="U8" i="1"/>
  <c r="I8" i="1"/>
  <c r="AE7" i="1"/>
  <c r="AD7" i="1"/>
  <c r="AC7" i="1"/>
  <c r="AB7" i="1"/>
  <c r="AA7" i="1"/>
  <c r="Z7" i="1"/>
  <c r="Y7" i="1"/>
  <c r="X7" i="1"/>
  <c r="W7" i="1"/>
  <c r="V7" i="1"/>
  <c r="S7" i="1"/>
  <c r="R7" i="1"/>
  <c r="Q7" i="1"/>
  <c r="P7" i="1"/>
  <c r="O7" i="1"/>
  <c r="N7" i="1"/>
  <c r="M7" i="1"/>
  <c r="L7" i="1"/>
  <c r="K7" i="1"/>
  <c r="J7" i="1"/>
  <c r="Y109" i="1" l="1"/>
  <c r="Z109" i="1" s="1"/>
  <c r="AA109" i="1" s="1"/>
  <c r="BH123" i="1"/>
  <c r="AX123" i="1"/>
  <c r="AY123" i="1" s="1"/>
  <c r="BA123" i="1" s="1"/>
  <c r="BF78" i="1"/>
  <c r="AX78" i="1"/>
  <c r="AY78" i="1" s="1"/>
  <c r="BA78" i="1" s="1"/>
  <c r="BG78" i="1" s="1"/>
  <c r="BH78" i="1"/>
  <c r="BF195" i="1"/>
  <c r="AX195" i="1"/>
  <c r="AY195" i="1" s="1"/>
  <c r="BA195" i="1" s="1"/>
  <c r="AA99" i="1"/>
  <c r="AX182" i="1"/>
  <c r="AY182" i="1" s="1"/>
  <c r="BA182" i="1" s="1"/>
  <c r="BG182" i="1" s="1"/>
  <c r="BF182" i="1"/>
  <c r="BF167" i="1"/>
  <c r="BH167" i="1"/>
  <c r="AX167" i="1"/>
  <c r="AY167" i="1" s="1"/>
  <c r="BA167" i="1" s="1"/>
  <c r="BI167" i="1" s="1"/>
  <c r="BF148" i="1"/>
  <c r="Y148" i="1" s="1"/>
  <c r="Z148" i="1" s="1"/>
  <c r="AA148" i="1" s="1"/>
  <c r="BF86" i="1"/>
  <c r="BH86" i="1"/>
  <c r="AX86" i="1"/>
  <c r="AY86" i="1" s="1"/>
  <c r="BA86" i="1" s="1"/>
  <c r="BG86" i="1" s="1"/>
  <c r="AX174" i="1"/>
  <c r="AY174" i="1" s="1"/>
  <c r="BA174" i="1" s="1"/>
  <c r="BH174" i="1"/>
  <c r="BF144" i="1"/>
  <c r="BF128" i="1"/>
  <c r="AX128" i="1"/>
  <c r="AY128" i="1" s="1"/>
  <c r="BA128" i="1" s="1"/>
  <c r="BG128" i="1" s="1"/>
  <c r="AX148" i="1"/>
  <c r="AY148" i="1" s="1"/>
  <c r="BA148" i="1" s="1"/>
  <c r="BG148" i="1" s="1"/>
  <c r="AX116" i="1"/>
  <c r="AY116" i="1" s="1"/>
  <c r="BA116" i="1" s="1"/>
  <c r="BH170" i="1"/>
  <c r="AX110" i="1"/>
  <c r="AY110" i="1" s="1"/>
  <c r="BA110" i="1" s="1"/>
  <c r="BF110" i="1"/>
  <c r="BH110" i="1"/>
  <c r="AA147" i="1"/>
  <c r="AA69" i="1"/>
  <c r="Z65" i="1"/>
  <c r="AA63" i="1"/>
  <c r="BF191" i="1"/>
  <c r="AX190" i="1"/>
  <c r="AY190" i="1" s="1"/>
  <c r="BA190" i="1" s="1"/>
  <c r="BH109" i="1"/>
  <c r="AX71" i="1"/>
  <c r="AY71" i="1" s="1"/>
  <c r="BA71" i="1" s="1"/>
  <c r="AA65" i="1"/>
  <c r="AA61" i="1"/>
  <c r="Z57" i="1"/>
  <c r="BH135" i="1"/>
  <c r="BF135" i="1"/>
  <c r="AA57" i="1"/>
  <c r="BH71" i="1"/>
  <c r="AA62" i="1"/>
  <c r="AA56" i="1"/>
  <c r="BH190" i="1"/>
  <c r="Y190" i="1" s="1"/>
  <c r="Z190" i="1" s="1"/>
  <c r="AA190" i="1" s="1"/>
  <c r="AA66" i="1"/>
  <c r="AR172" i="1"/>
  <c r="AT172" i="1"/>
  <c r="AP143" i="1"/>
  <c r="AS143" i="1"/>
  <c r="AT195" i="1"/>
  <c r="AR195" i="1"/>
  <c r="AR188" i="1"/>
  <c r="AT188" i="1"/>
  <c r="AP151" i="1"/>
  <c r="AS151" i="1"/>
  <c r="AP147" i="1"/>
  <c r="AS147" i="1"/>
  <c r="AT127" i="1"/>
  <c r="AR127" i="1"/>
  <c r="AT179" i="1"/>
  <c r="AR179" i="1"/>
  <c r="AP159" i="1"/>
  <c r="AS159" i="1"/>
  <c r="AP155" i="1"/>
  <c r="AS155" i="1"/>
  <c r="AR196" i="1"/>
  <c r="AT196" i="1"/>
  <c r="AT187" i="1"/>
  <c r="AR187" i="1"/>
  <c r="AR180" i="1"/>
  <c r="AT180" i="1"/>
  <c r="AP167" i="1"/>
  <c r="AS167" i="1"/>
  <c r="AP163" i="1"/>
  <c r="AS163" i="1"/>
  <c r="AS139" i="1"/>
  <c r="AR138" i="1"/>
  <c r="AT138" i="1"/>
  <c r="AI84" i="1"/>
  <c r="AJ84" i="1" s="1"/>
  <c r="AL84" i="1" s="1"/>
  <c r="AQ84" i="1"/>
  <c r="AS84" i="1"/>
  <c r="AI198" i="1"/>
  <c r="AJ198" i="1" s="1"/>
  <c r="AL198" i="1" s="1"/>
  <c r="AQ198" i="1"/>
  <c r="AS198" i="1"/>
  <c r="AI190" i="1"/>
  <c r="AJ190" i="1" s="1"/>
  <c r="AL190" i="1" s="1"/>
  <c r="AQ190" i="1"/>
  <c r="AS190" i="1"/>
  <c r="AI182" i="1"/>
  <c r="AJ182" i="1" s="1"/>
  <c r="AL182" i="1" s="1"/>
  <c r="AQ182" i="1"/>
  <c r="AS182" i="1"/>
  <c r="AI171" i="1"/>
  <c r="AJ171" i="1" s="1"/>
  <c r="AL171" i="1" s="1"/>
  <c r="AQ171" i="1"/>
  <c r="AS171" i="1"/>
  <c r="AR168" i="1"/>
  <c r="AI164" i="1"/>
  <c r="AJ164" i="1" s="1"/>
  <c r="AL164" i="1" s="1"/>
  <c r="AQ164" i="1"/>
  <c r="AS164" i="1"/>
  <c r="AI156" i="1"/>
  <c r="AJ156" i="1" s="1"/>
  <c r="AL156" i="1" s="1"/>
  <c r="AQ156" i="1"/>
  <c r="AS156" i="1"/>
  <c r="AI148" i="1"/>
  <c r="AJ148" i="1" s="1"/>
  <c r="AL148" i="1" s="1"/>
  <c r="AQ148" i="1"/>
  <c r="AS148" i="1"/>
  <c r="AI140" i="1"/>
  <c r="AJ140" i="1" s="1"/>
  <c r="AL140" i="1" s="1"/>
  <c r="AQ140" i="1"/>
  <c r="AS140" i="1"/>
  <c r="AN120" i="1"/>
  <c r="AP120" i="1" s="1"/>
  <c r="AQ120" i="1"/>
  <c r="AI199" i="1"/>
  <c r="AJ199" i="1" s="1"/>
  <c r="AL199" i="1" s="1"/>
  <c r="AS197" i="1"/>
  <c r="AS196" i="1"/>
  <c r="AI193" i="1"/>
  <c r="AJ193" i="1" s="1"/>
  <c r="AL193" i="1" s="1"/>
  <c r="AQ193" i="1"/>
  <c r="AI191" i="1"/>
  <c r="AJ191" i="1" s="1"/>
  <c r="AL191" i="1" s="1"/>
  <c r="AS189" i="1"/>
  <c r="AS188" i="1"/>
  <c r="AI185" i="1"/>
  <c r="AJ185" i="1" s="1"/>
  <c r="AL185" i="1" s="1"/>
  <c r="AQ185" i="1"/>
  <c r="AI183" i="1"/>
  <c r="AJ183" i="1" s="1"/>
  <c r="AL183" i="1" s="1"/>
  <c r="AS181" i="1"/>
  <c r="AS180" i="1"/>
  <c r="AI177" i="1"/>
  <c r="AJ177" i="1" s="1"/>
  <c r="AL177" i="1" s="1"/>
  <c r="AQ177" i="1"/>
  <c r="AI175" i="1"/>
  <c r="AJ175" i="1" s="1"/>
  <c r="AL175" i="1" s="1"/>
  <c r="AS175" i="1"/>
  <c r="AQ170" i="1"/>
  <c r="AS161" i="1"/>
  <c r="AI161" i="1"/>
  <c r="AJ161" i="1" s="1"/>
  <c r="AL161" i="1" s="1"/>
  <c r="AS153" i="1"/>
  <c r="AI153" i="1"/>
  <c r="AJ153" i="1" s="1"/>
  <c r="AL153" i="1" s="1"/>
  <c r="AS145" i="1"/>
  <c r="AI145" i="1"/>
  <c r="AJ145" i="1" s="1"/>
  <c r="AL145" i="1" s="1"/>
  <c r="AI200" i="1"/>
  <c r="AJ200" i="1" s="1"/>
  <c r="AL200" i="1" s="1"/>
  <c r="AQ196" i="1"/>
  <c r="AQ195" i="1"/>
  <c r="AI192" i="1"/>
  <c r="AJ192" i="1" s="1"/>
  <c r="AL192" i="1" s="1"/>
  <c r="AQ188" i="1"/>
  <c r="AQ187" i="1"/>
  <c r="AI184" i="1"/>
  <c r="AJ184" i="1" s="1"/>
  <c r="AL184" i="1" s="1"/>
  <c r="AQ180" i="1"/>
  <c r="AQ179" i="1"/>
  <c r="AI176" i="1"/>
  <c r="AJ176" i="1" s="1"/>
  <c r="AL176" i="1" s="1"/>
  <c r="AQ169" i="1"/>
  <c r="AI169" i="1"/>
  <c r="AJ169" i="1" s="1"/>
  <c r="AL169" i="1" s="1"/>
  <c r="AS169" i="1"/>
  <c r="AN85" i="1"/>
  <c r="AP85" i="1" s="1"/>
  <c r="AQ85" i="1"/>
  <c r="AP162" i="1"/>
  <c r="AS162" i="1"/>
  <c r="AP129" i="1"/>
  <c r="AS129" i="1"/>
  <c r="AR70" i="1"/>
  <c r="AI194" i="1"/>
  <c r="AJ194" i="1" s="1"/>
  <c r="AL194" i="1" s="1"/>
  <c r="AQ194" i="1"/>
  <c r="AS194" i="1"/>
  <c r="AI178" i="1"/>
  <c r="AJ178" i="1" s="1"/>
  <c r="AL178" i="1" s="1"/>
  <c r="AQ178" i="1"/>
  <c r="AS178" i="1"/>
  <c r="AQ174" i="1"/>
  <c r="AI174" i="1"/>
  <c r="AJ174" i="1" s="1"/>
  <c r="AL174" i="1" s="1"/>
  <c r="AS170" i="1"/>
  <c r="AI144" i="1"/>
  <c r="AJ144" i="1" s="1"/>
  <c r="AL144" i="1" s="1"/>
  <c r="AQ144" i="1"/>
  <c r="AS144" i="1"/>
  <c r="AQ124" i="1"/>
  <c r="AI124" i="1"/>
  <c r="AJ124" i="1" s="1"/>
  <c r="AL124" i="1" s="1"/>
  <c r="AS124" i="1"/>
  <c r="AS200" i="1"/>
  <c r="AI197" i="1"/>
  <c r="AJ197" i="1" s="1"/>
  <c r="AL197" i="1" s="1"/>
  <c r="AQ197" i="1"/>
  <c r="AS193" i="1"/>
  <c r="AS192" i="1"/>
  <c r="AI189" i="1"/>
  <c r="AJ189" i="1" s="1"/>
  <c r="AL189" i="1" s="1"/>
  <c r="AQ189" i="1"/>
  <c r="AS185" i="1"/>
  <c r="AS184" i="1"/>
  <c r="AI181" i="1"/>
  <c r="AJ181" i="1" s="1"/>
  <c r="AL181" i="1" s="1"/>
  <c r="AQ181" i="1"/>
  <c r="AS177" i="1"/>
  <c r="AS176" i="1"/>
  <c r="AQ175" i="1"/>
  <c r="AQ172" i="1"/>
  <c r="AS165" i="1"/>
  <c r="AI165" i="1"/>
  <c r="AJ165" i="1" s="1"/>
  <c r="AL165" i="1" s="1"/>
  <c r="AQ161" i="1"/>
  <c r="AS157" i="1"/>
  <c r="AI157" i="1"/>
  <c r="AJ157" i="1" s="1"/>
  <c r="AL157" i="1" s="1"/>
  <c r="AQ153" i="1"/>
  <c r="AS149" i="1"/>
  <c r="AI149" i="1"/>
  <c r="AJ149" i="1" s="1"/>
  <c r="AL149" i="1" s="1"/>
  <c r="AQ145" i="1"/>
  <c r="AS141" i="1"/>
  <c r="AI141" i="1"/>
  <c r="AJ141" i="1" s="1"/>
  <c r="AL141" i="1" s="1"/>
  <c r="AR130" i="1"/>
  <c r="AT130" i="1"/>
  <c r="AI92" i="1"/>
  <c r="AJ92" i="1" s="1"/>
  <c r="AL92" i="1" s="1"/>
  <c r="AQ92" i="1"/>
  <c r="AS92" i="1"/>
  <c r="AP154" i="1"/>
  <c r="AS154" i="1"/>
  <c r="AQ128" i="1"/>
  <c r="AI128" i="1"/>
  <c r="AJ128" i="1" s="1"/>
  <c r="AL128" i="1" s="1"/>
  <c r="AS128" i="1"/>
  <c r="AI186" i="1"/>
  <c r="AJ186" i="1" s="1"/>
  <c r="AL186" i="1" s="1"/>
  <c r="AQ186" i="1"/>
  <c r="AS186" i="1"/>
  <c r="AI160" i="1"/>
  <c r="AJ160" i="1" s="1"/>
  <c r="AL160" i="1" s="1"/>
  <c r="AQ160" i="1"/>
  <c r="AS160" i="1"/>
  <c r="AI152" i="1"/>
  <c r="AJ152" i="1" s="1"/>
  <c r="AL152" i="1" s="1"/>
  <c r="AQ152" i="1"/>
  <c r="AS152" i="1"/>
  <c r="AR134" i="1"/>
  <c r="AT134" i="1"/>
  <c r="AI119" i="1"/>
  <c r="AJ119" i="1" s="1"/>
  <c r="AL119" i="1" s="1"/>
  <c r="AS119" i="1"/>
  <c r="AQ119" i="1"/>
  <c r="AQ199" i="1"/>
  <c r="AQ191" i="1"/>
  <c r="AQ183" i="1"/>
  <c r="AT162" i="1"/>
  <c r="AT154" i="1"/>
  <c r="AN99" i="1"/>
  <c r="AP99" i="1" s="1"/>
  <c r="AQ99" i="1"/>
  <c r="AS74" i="1"/>
  <c r="AI74" i="1"/>
  <c r="AJ74" i="1" s="1"/>
  <c r="AL74" i="1" s="1"/>
  <c r="AQ74" i="1"/>
  <c r="AI173" i="1"/>
  <c r="AJ173" i="1" s="1"/>
  <c r="AL173" i="1" s="1"/>
  <c r="AS173" i="1"/>
  <c r="AP146" i="1"/>
  <c r="AS146" i="1"/>
  <c r="AI110" i="1"/>
  <c r="AJ110" i="1" s="1"/>
  <c r="AL110" i="1" s="1"/>
  <c r="AQ110" i="1"/>
  <c r="AS110" i="1"/>
  <c r="AS195" i="1"/>
  <c r="AS187" i="1"/>
  <c r="AS179" i="1"/>
  <c r="AQ173" i="1"/>
  <c r="AN168" i="1"/>
  <c r="AP168" i="1" s="1"/>
  <c r="AQ168" i="1"/>
  <c r="AP166" i="1"/>
  <c r="AS166" i="1"/>
  <c r="AQ162" i="1"/>
  <c r="AP158" i="1"/>
  <c r="AS158" i="1"/>
  <c r="AQ154" i="1"/>
  <c r="AP150" i="1"/>
  <c r="AS150" i="1"/>
  <c r="AQ146" i="1"/>
  <c r="AP142" i="1"/>
  <c r="AS142" i="1"/>
  <c r="AS138" i="1"/>
  <c r="AS137" i="1"/>
  <c r="AI137" i="1"/>
  <c r="AJ137" i="1" s="1"/>
  <c r="AL137" i="1" s="1"/>
  <c r="AQ137" i="1"/>
  <c r="AP132" i="1"/>
  <c r="AT132" i="1"/>
  <c r="AR120" i="1"/>
  <c r="AT120" i="1"/>
  <c r="AN116" i="1"/>
  <c r="AP116" i="1" s="1"/>
  <c r="AQ116" i="1"/>
  <c r="AS77" i="1"/>
  <c r="AI77" i="1"/>
  <c r="AJ77" i="1" s="1"/>
  <c r="AL77" i="1" s="1"/>
  <c r="AQ77" i="1"/>
  <c r="AQ75" i="1"/>
  <c r="AS75" i="1"/>
  <c r="AI75" i="1"/>
  <c r="AJ75" i="1" s="1"/>
  <c r="AL75" i="1" s="1"/>
  <c r="AQ66" i="1"/>
  <c r="AI66" i="1"/>
  <c r="AJ66" i="1" s="1"/>
  <c r="AL66" i="1" s="1"/>
  <c r="AS61" i="1"/>
  <c r="AI61" i="1"/>
  <c r="AJ61" i="1" s="1"/>
  <c r="AL61" i="1" s="1"/>
  <c r="AQ61" i="1"/>
  <c r="AQ134" i="1"/>
  <c r="AQ133" i="1"/>
  <c r="AI133" i="1"/>
  <c r="AJ133" i="1" s="1"/>
  <c r="AL133" i="1" s="1"/>
  <c r="AS133" i="1"/>
  <c r="AQ122" i="1"/>
  <c r="AI121" i="1"/>
  <c r="AJ121" i="1" s="1"/>
  <c r="AL121" i="1" s="1"/>
  <c r="AQ121" i="1"/>
  <c r="AI108" i="1"/>
  <c r="AJ108" i="1" s="1"/>
  <c r="AL108" i="1" s="1"/>
  <c r="AQ108" i="1"/>
  <c r="AP100" i="1"/>
  <c r="AS100" i="1"/>
  <c r="AR95" i="1"/>
  <c r="AT95" i="1"/>
  <c r="AR93" i="1"/>
  <c r="AT93" i="1"/>
  <c r="AS90" i="1"/>
  <c r="AI90" i="1"/>
  <c r="AJ90" i="1" s="1"/>
  <c r="AL90" i="1" s="1"/>
  <c r="AR83" i="1"/>
  <c r="AT83" i="1"/>
  <c r="AS73" i="1"/>
  <c r="AI73" i="1"/>
  <c r="AJ73" i="1" s="1"/>
  <c r="AL73" i="1" s="1"/>
  <c r="AQ73" i="1"/>
  <c r="AS53" i="1"/>
  <c r="AI53" i="1"/>
  <c r="AJ53" i="1" s="1"/>
  <c r="AL53" i="1" s="1"/>
  <c r="AQ53" i="1"/>
  <c r="AR118" i="1"/>
  <c r="AT118" i="1"/>
  <c r="AR85" i="1"/>
  <c r="AT85" i="1"/>
  <c r="AQ130" i="1"/>
  <c r="AS127" i="1"/>
  <c r="AN126" i="1"/>
  <c r="AP126" i="1" s="1"/>
  <c r="AQ112" i="1"/>
  <c r="AS111" i="1"/>
  <c r="AI111" i="1"/>
  <c r="AJ111" i="1" s="1"/>
  <c r="AL111" i="1" s="1"/>
  <c r="AS106" i="1"/>
  <c r="AI106" i="1"/>
  <c r="AJ106" i="1" s="1"/>
  <c r="AL106" i="1" s="1"/>
  <c r="AQ106" i="1"/>
  <c r="AQ98" i="1"/>
  <c r="AI98" i="1"/>
  <c r="AJ98" i="1" s="1"/>
  <c r="AL98" i="1" s="1"/>
  <c r="AS98" i="1"/>
  <c r="AQ91" i="1"/>
  <c r="AS91" i="1"/>
  <c r="AI91" i="1"/>
  <c r="AJ91" i="1" s="1"/>
  <c r="AL91" i="1" s="1"/>
  <c r="AT78" i="1"/>
  <c r="AR78" i="1"/>
  <c r="AS54" i="1"/>
  <c r="AI135" i="1"/>
  <c r="AJ135" i="1" s="1"/>
  <c r="AL135" i="1" s="1"/>
  <c r="AQ135" i="1"/>
  <c r="AT129" i="1"/>
  <c r="AI117" i="1"/>
  <c r="AJ117" i="1" s="1"/>
  <c r="AL117" i="1" s="1"/>
  <c r="AQ117" i="1"/>
  <c r="AS117" i="1"/>
  <c r="AR65" i="1"/>
  <c r="AT65" i="1"/>
  <c r="AI167" i="1"/>
  <c r="AJ167" i="1" s="1"/>
  <c r="AL167" i="1" s="1"/>
  <c r="AQ167" i="1"/>
  <c r="AR166" i="1"/>
  <c r="AI163" i="1"/>
  <c r="AJ163" i="1" s="1"/>
  <c r="AL163" i="1" s="1"/>
  <c r="AQ163" i="1"/>
  <c r="AR162" i="1"/>
  <c r="AI159" i="1"/>
  <c r="AJ159" i="1" s="1"/>
  <c r="AL159" i="1" s="1"/>
  <c r="AQ159" i="1"/>
  <c r="AR158" i="1"/>
  <c r="AI155" i="1"/>
  <c r="AJ155" i="1" s="1"/>
  <c r="AL155" i="1" s="1"/>
  <c r="AQ155" i="1"/>
  <c r="AR154" i="1"/>
  <c r="AI151" i="1"/>
  <c r="AJ151" i="1" s="1"/>
  <c r="AL151" i="1" s="1"/>
  <c r="AQ151" i="1"/>
  <c r="AR150" i="1"/>
  <c r="AI147" i="1"/>
  <c r="AJ147" i="1" s="1"/>
  <c r="AL147" i="1" s="1"/>
  <c r="AQ147" i="1"/>
  <c r="AR146" i="1"/>
  <c r="AI143" i="1"/>
  <c r="AJ143" i="1" s="1"/>
  <c r="AL143" i="1" s="1"/>
  <c r="AQ143" i="1"/>
  <c r="AR142" i="1"/>
  <c r="AR129" i="1"/>
  <c r="AI125" i="1"/>
  <c r="AJ125" i="1" s="1"/>
  <c r="AL125" i="1" s="1"/>
  <c r="AQ125" i="1"/>
  <c r="AS125" i="1"/>
  <c r="AS122" i="1"/>
  <c r="AI122" i="1"/>
  <c r="AJ122" i="1" s="1"/>
  <c r="AL122" i="1" s="1"/>
  <c r="AT86" i="1"/>
  <c r="AR86" i="1"/>
  <c r="AS66" i="1"/>
  <c r="AQ102" i="1"/>
  <c r="AN102" i="1"/>
  <c r="AP102" i="1" s="1"/>
  <c r="AP86" i="1"/>
  <c r="AS86" i="1"/>
  <c r="AI170" i="1"/>
  <c r="AJ170" i="1" s="1"/>
  <c r="AL170" i="1" s="1"/>
  <c r="AI139" i="1"/>
  <c r="AJ139" i="1" s="1"/>
  <c r="AL139" i="1" s="1"/>
  <c r="AQ139" i="1"/>
  <c r="AI136" i="1"/>
  <c r="AJ136" i="1" s="1"/>
  <c r="AL136" i="1" s="1"/>
  <c r="AQ136" i="1"/>
  <c r="AS136" i="1"/>
  <c r="AQ132" i="1"/>
  <c r="AS132" i="1"/>
  <c r="AI131" i="1"/>
  <c r="AJ131" i="1" s="1"/>
  <c r="AL131" i="1" s="1"/>
  <c r="AS131" i="1"/>
  <c r="AR126" i="1"/>
  <c r="AQ123" i="1"/>
  <c r="AI123" i="1"/>
  <c r="AJ123" i="1" s="1"/>
  <c r="AL123" i="1" s="1"/>
  <c r="AS123" i="1"/>
  <c r="AS121" i="1"/>
  <c r="AI115" i="1"/>
  <c r="AJ115" i="1" s="1"/>
  <c r="AL115" i="1" s="1"/>
  <c r="AQ115" i="1"/>
  <c r="AR112" i="1"/>
  <c r="AQ94" i="1"/>
  <c r="AN79" i="1"/>
  <c r="AQ79" i="1"/>
  <c r="AR69" i="1"/>
  <c r="AT69" i="1"/>
  <c r="AI68" i="1"/>
  <c r="AJ68" i="1" s="1"/>
  <c r="AL68" i="1" s="1"/>
  <c r="AQ68" i="1"/>
  <c r="AR63" i="1"/>
  <c r="AT63" i="1"/>
  <c r="AN83" i="1"/>
  <c r="AP83" i="1" s="1"/>
  <c r="AQ83" i="1"/>
  <c r="AS168" i="1"/>
  <c r="AS135" i="1"/>
  <c r="AS134" i="1"/>
  <c r="AS130" i="1"/>
  <c r="AP112" i="1"/>
  <c r="AS112" i="1"/>
  <c r="AQ90" i="1"/>
  <c r="AR79" i="1"/>
  <c r="AT79" i="1"/>
  <c r="AI64" i="1"/>
  <c r="AJ64" i="1" s="1"/>
  <c r="AL64" i="1" s="1"/>
  <c r="AQ64" i="1"/>
  <c r="AS64" i="1"/>
  <c r="AR99" i="1"/>
  <c r="AI94" i="1"/>
  <c r="AJ94" i="1" s="1"/>
  <c r="AL94" i="1" s="1"/>
  <c r="AS93" i="1"/>
  <c r="AS89" i="1"/>
  <c r="AI89" i="1"/>
  <c r="AJ89" i="1" s="1"/>
  <c r="AL89" i="1" s="1"/>
  <c r="AQ89" i="1"/>
  <c r="AI80" i="1"/>
  <c r="AJ80" i="1" s="1"/>
  <c r="AL80" i="1" s="1"/>
  <c r="AQ80" i="1"/>
  <c r="AS80" i="1"/>
  <c r="AQ71" i="1"/>
  <c r="AI71" i="1"/>
  <c r="AJ71" i="1" s="1"/>
  <c r="AL71" i="1" s="1"/>
  <c r="AT67" i="1"/>
  <c r="AS58" i="1"/>
  <c r="AS57" i="1"/>
  <c r="AI57" i="1"/>
  <c r="AJ57" i="1" s="1"/>
  <c r="AL57" i="1" s="1"/>
  <c r="AQ57" i="1"/>
  <c r="AQ54" i="1"/>
  <c r="AS52" i="1"/>
  <c r="AS118" i="1"/>
  <c r="AS105" i="1"/>
  <c r="AI105" i="1"/>
  <c r="AJ105" i="1" s="1"/>
  <c r="AL105" i="1" s="1"/>
  <c r="AQ105" i="1"/>
  <c r="AT102" i="1"/>
  <c r="AR102" i="1"/>
  <c r="AR101" i="1"/>
  <c r="AT101" i="1"/>
  <c r="AI96" i="1"/>
  <c r="AJ96" i="1" s="1"/>
  <c r="AL96" i="1" s="1"/>
  <c r="AQ96" i="1"/>
  <c r="AS96" i="1"/>
  <c r="AQ87" i="1"/>
  <c r="AI87" i="1"/>
  <c r="AJ87" i="1" s="1"/>
  <c r="AL87" i="1" s="1"/>
  <c r="AI76" i="1"/>
  <c r="AJ76" i="1" s="1"/>
  <c r="AL76" i="1" s="1"/>
  <c r="AQ76" i="1"/>
  <c r="AS126" i="1"/>
  <c r="AQ118" i="1"/>
  <c r="AI116" i="1"/>
  <c r="AJ116" i="1" s="1"/>
  <c r="AL116" i="1" s="1"/>
  <c r="AI113" i="1"/>
  <c r="AJ113" i="1" s="1"/>
  <c r="AL113" i="1" s="1"/>
  <c r="AQ113" i="1"/>
  <c r="AQ107" i="1"/>
  <c r="AS107" i="1"/>
  <c r="AI100" i="1"/>
  <c r="AJ100" i="1" s="1"/>
  <c r="AL100" i="1" s="1"/>
  <c r="AQ100" i="1"/>
  <c r="AS88" i="1"/>
  <c r="AR81" i="1"/>
  <c r="AT81" i="1"/>
  <c r="AS78" i="1"/>
  <c r="AS67" i="1"/>
  <c r="AR55" i="1"/>
  <c r="AT54" i="1"/>
  <c r="AR54" i="1"/>
  <c r="AI109" i="1"/>
  <c r="AJ109" i="1" s="1"/>
  <c r="AL109" i="1" s="1"/>
  <c r="AQ109" i="1"/>
  <c r="AI107" i="1"/>
  <c r="AJ107" i="1" s="1"/>
  <c r="AL107" i="1" s="1"/>
  <c r="AQ103" i="1"/>
  <c r="AI103" i="1"/>
  <c r="AJ103" i="1" s="1"/>
  <c r="AL103" i="1" s="1"/>
  <c r="AT99" i="1"/>
  <c r="AQ93" i="1"/>
  <c r="AQ78" i="1"/>
  <c r="AN70" i="1"/>
  <c r="AR59" i="1"/>
  <c r="AT58" i="1"/>
  <c r="AR58" i="1"/>
  <c r="AI114" i="1"/>
  <c r="AJ114" i="1" s="1"/>
  <c r="AL114" i="1" s="1"/>
  <c r="AQ114" i="1"/>
  <c r="AS114" i="1"/>
  <c r="AR97" i="1"/>
  <c r="AT97" i="1"/>
  <c r="AS83" i="1"/>
  <c r="AQ82" i="1"/>
  <c r="AI82" i="1"/>
  <c r="AJ82" i="1" s="1"/>
  <c r="AL82" i="1" s="1"/>
  <c r="AT62" i="1"/>
  <c r="AR62" i="1"/>
  <c r="AI52" i="1"/>
  <c r="AJ52" i="1" s="1"/>
  <c r="AL52" i="1" s="1"/>
  <c r="AQ52" i="1"/>
  <c r="AQ59" i="1"/>
  <c r="AQ55" i="1"/>
  <c r="AS97" i="1"/>
  <c r="AS81" i="1"/>
  <c r="AS65" i="1"/>
  <c r="AI60" i="1"/>
  <c r="AJ60" i="1" s="1"/>
  <c r="AL60" i="1" s="1"/>
  <c r="AQ60" i="1"/>
  <c r="AI56" i="1"/>
  <c r="AJ56" i="1" s="1"/>
  <c r="AL56" i="1" s="1"/>
  <c r="AQ56" i="1"/>
  <c r="AQ97" i="1"/>
  <c r="AQ81" i="1"/>
  <c r="AQ65" i="1"/>
  <c r="AI104" i="1"/>
  <c r="AJ104" i="1" s="1"/>
  <c r="AL104" i="1" s="1"/>
  <c r="AQ104" i="1"/>
  <c r="AS101" i="1"/>
  <c r="AI88" i="1"/>
  <c r="AJ88" i="1" s="1"/>
  <c r="AL88" i="1" s="1"/>
  <c r="AQ88" i="1"/>
  <c r="AS85" i="1"/>
  <c r="AI72" i="1"/>
  <c r="AJ72" i="1" s="1"/>
  <c r="AL72" i="1" s="1"/>
  <c r="AQ72" i="1"/>
  <c r="AS69" i="1"/>
  <c r="BG186" i="1"/>
  <c r="BI186" i="1"/>
  <c r="BI182" i="1"/>
  <c r="BG178" i="1"/>
  <c r="BI178" i="1"/>
  <c r="BC169" i="1"/>
  <c r="BE169" i="1" s="1"/>
  <c r="BF169" i="1"/>
  <c r="BG155" i="1"/>
  <c r="BI155" i="1"/>
  <c r="BI198" i="1"/>
  <c r="BG198" i="1"/>
  <c r="BC177" i="1"/>
  <c r="BE177" i="1" s="1"/>
  <c r="BG177" i="1"/>
  <c r="BF177" i="1"/>
  <c r="AX192" i="1"/>
  <c r="AY192" i="1" s="1"/>
  <c r="BA192" i="1" s="1"/>
  <c r="BF192" i="1"/>
  <c r="BH192" i="1"/>
  <c r="BG174" i="1"/>
  <c r="BI174" i="1"/>
  <c r="BC193" i="1"/>
  <c r="BF193" i="1"/>
  <c r="BH200" i="1"/>
  <c r="BF200" i="1"/>
  <c r="AX200" i="1"/>
  <c r="AY200" i="1" s="1"/>
  <c r="BA200" i="1" s="1"/>
  <c r="BF197" i="1"/>
  <c r="BH197" i="1"/>
  <c r="AX197" i="1"/>
  <c r="AY197" i="1" s="1"/>
  <c r="BA197" i="1" s="1"/>
  <c r="BE183" i="1"/>
  <c r="BH183" i="1"/>
  <c r="BE171" i="1"/>
  <c r="BH171" i="1"/>
  <c r="AX165" i="1"/>
  <c r="AY165" i="1" s="1"/>
  <c r="BA165" i="1" s="1"/>
  <c r="BF165" i="1"/>
  <c r="BH165" i="1"/>
  <c r="BC162" i="1"/>
  <c r="BE162" i="1" s="1"/>
  <c r="BF162" i="1"/>
  <c r="BG190" i="1"/>
  <c r="BI190" i="1"/>
  <c r="BI185" i="1"/>
  <c r="BG185" i="1"/>
  <c r="BG181" i="1"/>
  <c r="BG139" i="1"/>
  <c r="BI139" i="1"/>
  <c r="BI134" i="1"/>
  <c r="BG134" i="1"/>
  <c r="BF199" i="1"/>
  <c r="AX199" i="1"/>
  <c r="AY199" i="1" s="1"/>
  <c r="BA199" i="1" s="1"/>
  <c r="BH199" i="1"/>
  <c r="BG196" i="1"/>
  <c r="BI195" i="1"/>
  <c r="BG195" i="1"/>
  <c r="BC181" i="1"/>
  <c r="BE181" i="1" s="1"/>
  <c r="BF181" i="1"/>
  <c r="BG161" i="1"/>
  <c r="BI161" i="1"/>
  <c r="BF198" i="1"/>
  <c r="BC196" i="1"/>
  <c r="BF196" i="1"/>
  <c r="BG191" i="1"/>
  <c r="BI191" i="1"/>
  <c r="BG170" i="1"/>
  <c r="BI170" i="1"/>
  <c r="BI160" i="1"/>
  <c r="BG160" i="1"/>
  <c r="Y160" i="1" s="1"/>
  <c r="Z160" i="1" s="1"/>
  <c r="AA160" i="1" s="1"/>
  <c r="BI158" i="1"/>
  <c r="BG158" i="1"/>
  <c r="BG147" i="1"/>
  <c r="BI147" i="1"/>
  <c r="BH181" i="1"/>
  <c r="BH179" i="1"/>
  <c r="BH198" i="1"/>
  <c r="BC191" i="1"/>
  <c r="BF186" i="1"/>
  <c r="Y186" i="1" s="1"/>
  <c r="Z186" i="1" s="1"/>
  <c r="AA186" i="1" s="1"/>
  <c r="BF185" i="1"/>
  <c r="Y185" i="1" s="1"/>
  <c r="Z185" i="1" s="1"/>
  <c r="AA185" i="1" s="1"/>
  <c r="BF161" i="1"/>
  <c r="BH134" i="1"/>
  <c r="BF134" i="1"/>
  <c r="Y134" i="1" s="1"/>
  <c r="Z134" i="1" s="1"/>
  <c r="AA134" i="1" s="1"/>
  <c r="BF132" i="1"/>
  <c r="BH132" i="1"/>
  <c r="AX132" i="1"/>
  <c r="AY132" i="1" s="1"/>
  <c r="BA132" i="1" s="1"/>
  <c r="BF130" i="1"/>
  <c r="BH128" i="1"/>
  <c r="BI124" i="1"/>
  <c r="BG124" i="1"/>
  <c r="BC113" i="1"/>
  <c r="BE113" i="1" s="1"/>
  <c r="BF113" i="1"/>
  <c r="BF157" i="1"/>
  <c r="AX157" i="1"/>
  <c r="AY157" i="1" s="1"/>
  <c r="BA157" i="1" s="1"/>
  <c r="BI130" i="1"/>
  <c r="BG130" i="1"/>
  <c r="BI125" i="1"/>
  <c r="BG125" i="1"/>
  <c r="BG73" i="1"/>
  <c r="BI62" i="1"/>
  <c r="BG62" i="1"/>
  <c r="BH194" i="1"/>
  <c r="AX187" i="1"/>
  <c r="AY187" i="1" s="1"/>
  <c r="BA187" i="1" s="1"/>
  <c r="BF187" i="1"/>
  <c r="BF178" i="1"/>
  <c r="Y178" i="1" s="1"/>
  <c r="Z178" i="1" s="1"/>
  <c r="AA178" i="1" s="1"/>
  <c r="BG167" i="1"/>
  <c r="AX152" i="1"/>
  <c r="AY152" i="1" s="1"/>
  <c r="BA152" i="1" s="1"/>
  <c r="BI148" i="1"/>
  <c r="BH140" i="1"/>
  <c r="AX133" i="1"/>
  <c r="AY133" i="1" s="1"/>
  <c r="BA133" i="1" s="1"/>
  <c r="BF133" i="1"/>
  <c r="BH133" i="1"/>
  <c r="BF121" i="1"/>
  <c r="AX121" i="1"/>
  <c r="AY121" i="1" s="1"/>
  <c r="BA121" i="1" s="1"/>
  <c r="BI118" i="1"/>
  <c r="BG118" i="1"/>
  <c r="AX104" i="1"/>
  <c r="AY104" i="1" s="1"/>
  <c r="BA104" i="1" s="1"/>
  <c r="BH104" i="1"/>
  <c r="BF104" i="1"/>
  <c r="BF83" i="1"/>
  <c r="BH83" i="1"/>
  <c r="AX83" i="1"/>
  <c r="AY83" i="1" s="1"/>
  <c r="BA83" i="1" s="1"/>
  <c r="BF143" i="1"/>
  <c r="AX143" i="1"/>
  <c r="AY143" i="1" s="1"/>
  <c r="BA143" i="1" s="1"/>
  <c r="BI128" i="1"/>
  <c r="BG53" i="1"/>
  <c r="BI53" i="1"/>
  <c r="AX194" i="1"/>
  <c r="AY194" i="1" s="1"/>
  <c r="BA194" i="1" s="1"/>
  <c r="AX188" i="1"/>
  <c r="AY188" i="1" s="1"/>
  <c r="BA188" i="1" s="1"/>
  <c r="BF188" i="1"/>
  <c r="BH188" i="1"/>
  <c r="AX183" i="1"/>
  <c r="AY183" i="1" s="1"/>
  <c r="BA183" i="1" s="1"/>
  <c r="BF183" i="1"/>
  <c r="BF174" i="1"/>
  <c r="BF173" i="1"/>
  <c r="BF170" i="1"/>
  <c r="AX163" i="1"/>
  <c r="AY163" i="1" s="1"/>
  <c r="BA163" i="1" s="1"/>
  <c r="AX162" i="1"/>
  <c r="AY162" i="1" s="1"/>
  <c r="BA162" i="1" s="1"/>
  <c r="BH162" i="1"/>
  <c r="BH155" i="1"/>
  <c r="BF150" i="1"/>
  <c r="BH149" i="1"/>
  <c r="BF139" i="1"/>
  <c r="Y139" i="1" s="1"/>
  <c r="Z139" i="1" s="1"/>
  <c r="AA139" i="1" s="1"/>
  <c r="BH139" i="1"/>
  <c r="BF125" i="1"/>
  <c r="BF123" i="1"/>
  <c r="BF90" i="1"/>
  <c r="AX90" i="1"/>
  <c r="AY90" i="1" s="1"/>
  <c r="BA90" i="1" s="1"/>
  <c r="BH90" i="1"/>
  <c r="BH160" i="1"/>
  <c r="BH189" i="1"/>
  <c r="Y189" i="1" s="1"/>
  <c r="Z189" i="1" s="1"/>
  <c r="AA189" i="1" s="1"/>
  <c r="AX184" i="1"/>
  <c r="AY184" i="1" s="1"/>
  <c r="BA184" i="1" s="1"/>
  <c r="BF184" i="1"/>
  <c r="BH184" i="1"/>
  <c r="AX179" i="1"/>
  <c r="AY179" i="1" s="1"/>
  <c r="BA179" i="1" s="1"/>
  <c r="BF179" i="1"/>
  <c r="BF166" i="1"/>
  <c r="AX166" i="1"/>
  <c r="AY166" i="1" s="1"/>
  <c r="BA166" i="1" s="1"/>
  <c r="BH166" i="1"/>
  <c r="BF164" i="1"/>
  <c r="AX164" i="1"/>
  <c r="AY164" i="1" s="1"/>
  <c r="BA164" i="1" s="1"/>
  <c r="BH164" i="1"/>
  <c r="BF155" i="1"/>
  <c r="BF154" i="1"/>
  <c r="BG144" i="1"/>
  <c r="BI144" i="1"/>
  <c r="AX141" i="1"/>
  <c r="AY141" i="1" s="1"/>
  <c r="BA141" i="1" s="1"/>
  <c r="BF141" i="1"/>
  <c r="BH141" i="1"/>
  <c r="AX126" i="1"/>
  <c r="AY126" i="1" s="1"/>
  <c r="BA126" i="1" s="1"/>
  <c r="BF126" i="1"/>
  <c r="BH126" i="1"/>
  <c r="BF118" i="1"/>
  <c r="BH118" i="1"/>
  <c r="BC114" i="1"/>
  <c r="BE114" i="1" s="1"/>
  <c r="BF114" i="1"/>
  <c r="BH195" i="1"/>
  <c r="AX180" i="1"/>
  <c r="AY180" i="1" s="1"/>
  <c r="BA180" i="1" s="1"/>
  <c r="BF180" i="1"/>
  <c r="BH180" i="1"/>
  <c r="AX175" i="1"/>
  <c r="AY175" i="1" s="1"/>
  <c r="BA175" i="1" s="1"/>
  <c r="BF175" i="1"/>
  <c r="AX171" i="1"/>
  <c r="AY171" i="1" s="1"/>
  <c r="BA171" i="1" s="1"/>
  <c r="BF171" i="1"/>
  <c r="BF168" i="1"/>
  <c r="AX168" i="1"/>
  <c r="AY168" i="1" s="1"/>
  <c r="BA168" i="1" s="1"/>
  <c r="BH153" i="1"/>
  <c r="AX153" i="1"/>
  <c r="AY153" i="1" s="1"/>
  <c r="BA153" i="1" s="1"/>
  <c r="BI146" i="1"/>
  <c r="BG146" i="1"/>
  <c r="BI138" i="1"/>
  <c r="BG138" i="1"/>
  <c r="BI135" i="1"/>
  <c r="AX129" i="1"/>
  <c r="AY129" i="1" s="1"/>
  <c r="BA129" i="1" s="1"/>
  <c r="BF129" i="1"/>
  <c r="BH122" i="1"/>
  <c r="AX122" i="1"/>
  <c r="AY122" i="1" s="1"/>
  <c r="BA122" i="1" s="1"/>
  <c r="AX119" i="1"/>
  <c r="AY119" i="1" s="1"/>
  <c r="BA119" i="1" s="1"/>
  <c r="BF119" i="1"/>
  <c r="BH119" i="1"/>
  <c r="BH95" i="1"/>
  <c r="AX95" i="1"/>
  <c r="AY95" i="1" s="1"/>
  <c r="BA95" i="1" s="1"/>
  <c r="BF95" i="1"/>
  <c r="BI189" i="1"/>
  <c r="BH185" i="1"/>
  <c r="AX176" i="1"/>
  <c r="AY176" i="1" s="1"/>
  <c r="BA176" i="1" s="1"/>
  <c r="BF176" i="1"/>
  <c r="BH176" i="1"/>
  <c r="BH163" i="1"/>
  <c r="BF159" i="1"/>
  <c r="AX159" i="1"/>
  <c r="AY159" i="1" s="1"/>
  <c r="BA159" i="1" s="1"/>
  <c r="BH159" i="1"/>
  <c r="BF158" i="1"/>
  <c r="BF117" i="1"/>
  <c r="AX117" i="1"/>
  <c r="AY117" i="1" s="1"/>
  <c r="BA117" i="1" s="1"/>
  <c r="BH117" i="1"/>
  <c r="BH186" i="1"/>
  <c r="BG193" i="1"/>
  <c r="BH182" i="1"/>
  <c r="AX173" i="1"/>
  <c r="AY173" i="1" s="1"/>
  <c r="BA173" i="1" s="1"/>
  <c r="AX172" i="1"/>
  <c r="AY172" i="1" s="1"/>
  <c r="BA172" i="1" s="1"/>
  <c r="BF172" i="1"/>
  <c r="BH172" i="1"/>
  <c r="AX169" i="1"/>
  <c r="AY169" i="1" s="1"/>
  <c r="BA169" i="1" s="1"/>
  <c r="BH157" i="1"/>
  <c r="BF152" i="1"/>
  <c r="BF151" i="1"/>
  <c r="BF147" i="1"/>
  <c r="Y147" i="1" s="1"/>
  <c r="Z147" i="1" s="1"/>
  <c r="BH147" i="1"/>
  <c r="BH144" i="1"/>
  <c r="BH143" i="1"/>
  <c r="BI142" i="1"/>
  <c r="BG142" i="1"/>
  <c r="BF140" i="1"/>
  <c r="AX131" i="1"/>
  <c r="AY131" i="1" s="1"/>
  <c r="BA131" i="1" s="1"/>
  <c r="BF131" i="1"/>
  <c r="BE111" i="1"/>
  <c r="BH111" i="1"/>
  <c r="AX137" i="1"/>
  <c r="AY137" i="1" s="1"/>
  <c r="BA137" i="1" s="1"/>
  <c r="BF137" i="1"/>
  <c r="BH130" i="1"/>
  <c r="AX127" i="1"/>
  <c r="AY127" i="1" s="1"/>
  <c r="BA127" i="1" s="1"/>
  <c r="BH127" i="1"/>
  <c r="BF124" i="1"/>
  <c r="Y124" i="1" s="1"/>
  <c r="Z124" i="1" s="1"/>
  <c r="AA124" i="1" s="1"/>
  <c r="BH124" i="1"/>
  <c r="BF120" i="1"/>
  <c r="BH120" i="1"/>
  <c r="AX120" i="1"/>
  <c r="AY120" i="1" s="1"/>
  <c r="BA120" i="1" s="1"/>
  <c r="BG113" i="1"/>
  <c r="BI113" i="1"/>
  <c r="BF88" i="1"/>
  <c r="AX88" i="1"/>
  <c r="AY88" i="1" s="1"/>
  <c r="BA88" i="1" s="1"/>
  <c r="BH88" i="1"/>
  <c r="BF82" i="1"/>
  <c r="AX82" i="1"/>
  <c r="AY82" i="1" s="1"/>
  <c r="BA82" i="1" s="1"/>
  <c r="BH82" i="1"/>
  <c r="BI66" i="1"/>
  <c r="BG66" i="1"/>
  <c r="BH154" i="1"/>
  <c r="AX154" i="1"/>
  <c r="AY154" i="1" s="1"/>
  <c r="BA154" i="1" s="1"/>
  <c r="AX151" i="1"/>
  <c r="AY151" i="1" s="1"/>
  <c r="BA151" i="1" s="1"/>
  <c r="BI150" i="1"/>
  <c r="AX145" i="1"/>
  <c r="AY145" i="1" s="1"/>
  <c r="BA145" i="1" s="1"/>
  <c r="BF145" i="1"/>
  <c r="BH138" i="1"/>
  <c r="BF127" i="1"/>
  <c r="BG123" i="1"/>
  <c r="BH102" i="1"/>
  <c r="AX102" i="1"/>
  <c r="AY102" i="1" s="1"/>
  <c r="BA102" i="1" s="1"/>
  <c r="BF91" i="1"/>
  <c r="BH91" i="1"/>
  <c r="AX76" i="1"/>
  <c r="AY76" i="1" s="1"/>
  <c r="BA76" i="1" s="1"/>
  <c r="BH76" i="1"/>
  <c r="BF76" i="1"/>
  <c r="AX156" i="1"/>
  <c r="AY156" i="1" s="1"/>
  <c r="BA156" i="1" s="1"/>
  <c r="BH151" i="1"/>
  <c r="AX149" i="1"/>
  <c r="AY149" i="1" s="1"/>
  <c r="BA149" i="1" s="1"/>
  <c r="BF149" i="1"/>
  <c r="BH142" i="1"/>
  <c r="BF138" i="1"/>
  <c r="BH137" i="1"/>
  <c r="AX136" i="1"/>
  <c r="AY136" i="1" s="1"/>
  <c r="BA136" i="1" s="1"/>
  <c r="BH116" i="1"/>
  <c r="BF115" i="1"/>
  <c r="BH115" i="1"/>
  <c r="AX115" i="1"/>
  <c r="AY115" i="1" s="1"/>
  <c r="BA115" i="1" s="1"/>
  <c r="BF112" i="1"/>
  <c r="BF105" i="1"/>
  <c r="AX105" i="1"/>
  <c r="AY105" i="1" s="1"/>
  <c r="BA105" i="1" s="1"/>
  <c r="BI99" i="1"/>
  <c r="BE94" i="1"/>
  <c r="BH94" i="1"/>
  <c r="Y94" i="1" s="1"/>
  <c r="Z94" i="1" s="1"/>
  <c r="AA94" i="1" s="1"/>
  <c r="AX91" i="1"/>
  <c r="AY91" i="1" s="1"/>
  <c r="BA91" i="1" s="1"/>
  <c r="AX81" i="1"/>
  <c r="AY81" i="1" s="1"/>
  <c r="BA81" i="1" s="1"/>
  <c r="BF81" i="1"/>
  <c r="BH81" i="1"/>
  <c r="BH156" i="1"/>
  <c r="BH146" i="1"/>
  <c r="BF142" i="1"/>
  <c r="AX140" i="1"/>
  <c r="AY140" i="1" s="1"/>
  <c r="BA140" i="1" s="1"/>
  <c r="BH136" i="1"/>
  <c r="BI123" i="1"/>
  <c r="BG116" i="1"/>
  <c r="Y116" i="1" s="1"/>
  <c r="Z116" i="1" s="1"/>
  <c r="AA116" i="1" s="1"/>
  <c r="BI116" i="1"/>
  <c r="AX114" i="1"/>
  <c r="AY114" i="1" s="1"/>
  <c r="BA114" i="1" s="1"/>
  <c r="BG109" i="1"/>
  <c r="BI109" i="1"/>
  <c r="BF103" i="1"/>
  <c r="AX103" i="1"/>
  <c r="AY103" i="1" s="1"/>
  <c r="BA103" i="1" s="1"/>
  <c r="BH103" i="1"/>
  <c r="BF93" i="1"/>
  <c r="BH93" i="1"/>
  <c r="AX93" i="1"/>
  <c r="AY93" i="1" s="1"/>
  <c r="BA93" i="1" s="1"/>
  <c r="BG150" i="1"/>
  <c r="BH150" i="1"/>
  <c r="BF146" i="1"/>
  <c r="BH145" i="1"/>
  <c r="AX111" i="1"/>
  <c r="AY111" i="1" s="1"/>
  <c r="BA111" i="1" s="1"/>
  <c r="BF111" i="1"/>
  <c r="BF108" i="1"/>
  <c r="BH97" i="1"/>
  <c r="BI94" i="1"/>
  <c r="BG94" i="1"/>
  <c r="BF80" i="1"/>
  <c r="AX80" i="1"/>
  <c r="AY80" i="1" s="1"/>
  <c r="BA80" i="1" s="1"/>
  <c r="BH80" i="1"/>
  <c r="BG112" i="1"/>
  <c r="BI112" i="1"/>
  <c r="BF101" i="1"/>
  <c r="AX101" i="1"/>
  <c r="AY101" i="1" s="1"/>
  <c r="BA101" i="1" s="1"/>
  <c r="BH101" i="1"/>
  <c r="BF97" i="1"/>
  <c r="AX84" i="1"/>
  <c r="AY84" i="1" s="1"/>
  <c r="BA84" i="1" s="1"/>
  <c r="BH84" i="1"/>
  <c r="BF84" i="1"/>
  <c r="BG107" i="1"/>
  <c r="Y107" i="1" s="1"/>
  <c r="Z107" i="1" s="1"/>
  <c r="AA107" i="1" s="1"/>
  <c r="BI107" i="1"/>
  <c r="BI106" i="1"/>
  <c r="AX100" i="1"/>
  <c r="AY100" i="1" s="1"/>
  <c r="BA100" i="1" s="1"/>
  <c r="BH100" i="1"/>
  <c r="BG97" i="1"/>
  <c r="BI97" i="1"/>
  <c r="BF85" i="1"/>
  <c r="BH85" i="1"/>
  <c r="AX85" i="1"/>
  <c r="AY85" i="1" s="1"/>
  <c r="BA85" i="1" s="1"/>
  <c r="BF70" i="1"/>
  <c r="BH70" i="1"/>
  <c r="AX70" i="1"/>
  <c r="AY70" i="1" s="1"/>
  <c r="BA70" i="1" s="1"/>
  <c r="BG55" i="1"/>
  <c r="BI55" i="1"/>
  <c r="BI86" i="1"/>
  <c r="BF74" i="1"/>
  <c r="BH74" i="1"/>
  <c r="AX74" i="1"/>
  <c r="AY74" i="1" s="1"/>
  <c r="BA74" i="1" s="1"/>
  <c r="BG67" i="1"/>
  <c r="BI67" i="1"/>
  <c r="BF62" i="1"/>
  <c r="BH62" i="1"/>
  <c r="BF106" i="1"/>
  <c r="Y106" i="1" s="1"/>
  <c r="Z106" i="1" s="1"/>
  <c r="AA106" i="1" s="1"/>
  <c r="BH106" i="1"/>
  <c r="BF96" i="1"/>
  <c r="AX96" i="1"/>
  <c r="AY96" i="1" s="1"/>
  <c r="BA96" i="1" s="1"/>
  <c r="BH96" i="1"/>
  <c r="AX92" i="1"/>
  <c r="AY92" i="1" s="1"/>
  <c r="BA92" i="1" s="1"/>
  <c r="BH92" i="1"/>
  <c r="BG89" i="1"/>
  <c r="BI89" i="1"/>
  <c r="Y89" i="1" s="1"/>
  <c r="Z89" i="1" s="1"/>
  <c r="AA89" i="1" s="1"/>
  <c r="BF77" i="1"/>
  <c r="BH77" i="1"/>
  <c r="AX77" i="1"/>
  <c r="AY77" i="1" s="1"/>
  <c r="BA77" i="1" s="1"/>
  <c r="BE72" i="1"/>
  <c r="BH72" i="1"/>
  <c r="BG59" i="1"/>
  <c r="BI59" i="1"/>
  <c r="BH112" i="1"/>
  <c r="AX108" i="1"/>
  <c r="AY108" i="1" s="1"/>
  <c r="BA108" i="1" s="1"/>
  <c r="BH108" i="1"/>
  <c r="BF99" i="1"/>
  <c r="Y99" i="1" s="1"/>
  <c r="Z99" i="1" s="1"/>
  <c r="BH99" i="1"/>
  <c r="BF98" i="1"/>
  <c r="AX98" i="1"/>
  <c r="AY98" i="1" s="1"/>
  <c r="BA98" i="1" s="1"/>
  <c r="BH98" i="1"/>
  <c r="BH87" i="1"/>
  <c r="AX87" i="1"/>
  <c r="AY87" i="1" s="1"/>
  <c r="BA87" i="1" s="1"/>
  <c r="BF87" i="1"/>
  <c r="BI78" i="1"/>
  <c r="BF75" i="1"/>
  <c r="BH75" i="1"/>
  <c r="BI58" i="1"/>
  <c r="BG58" i="1"/>
  <c r="BG61" i="1"/>
  <c r="BI61" i="1"/>
  <c r="BH79" i="1"/>
  <c r="AX79" i="1"/>
  <c r="AY79" i="1" s="1"/>
  <c r="BA79" i="1" s="1"/>
  <c r="BF79" i="1"/>
  <c r="BC73" i="1"/>
  <c r="BE73" i="1" s="1"/>
  <c r="BF73" i="1"/>
  <c r="BG69" i="1"/>
  <c r="BI69" i="1"/>
  <c r="BG65" i="1"/>
  <c r="BI65" i="1"/>
  <c r="BH55" i="1"/>
  <c r="AX60" i="1"/>
  <c r="AY60" i="1" s="1"/>
  <c r="BA60" i="1" s="1"/>
  <c r="BF60" i="1"/>
  <c r="BG57" i="1"/>
  <c r="BH66" i="1"/>
  <c r="AX64" i="1"/>
  <c r="AY64" i="1" s="1"/>
  <c r="BA64" i="1" s="1"/>
  <c r="BF64" i="1"/>
  <c r="AX56" i="1"/>
  <c r="AY56" i="1" s="1"/>
  <c r="BA56" i="1" s="1"/>
  <c r="BF56" i="1"/>
  <c r="AX68" i="1"/>
  <c r="AY68" i="1" s="1"/>
  <c r="BA68" i="1" s="1"/>
  <c r="BF68" i="1"/>
  <c r="BH61" i="1"/>
  <c r="BG54" i="1"/>
  <c r="AX52" i="1"/>
  <c r="AY52" i="1" s="1"/>
  <c r="BA52" i="1" s="1"/>
  <c r="BF52" i="1"/>
  <c r="AX72" i="1"/>
  <c r="AY72" i="1" s="1"/>
  <c r="BA72" i="1" s="1"/>
  <c r="BF72" i="1"/>
  <c r="BH65" i="1"/>
  <c r="BF61" i="1"/>
  <c r="BH60" i="1"/>
  <c r="BI57" i="1"/>
  <c r="BH57" i="1"/>
  <c r="BH69" i="1"/>
  <c r="BF65" i="1"/>
  <c r="BH64" i="1"/>
  <c r="BF57" i="1"/>
  <c r="BH56" i="1"/>
  <c r="BH53" i="1"/>
  <c r="BF69" i="1"/>
  <c r="BH68" i="1"/>
  <c r="BI63" i="1"/>
  <c r="BH59" i="1"/>
  <c r="BF53" i="1"/>
  <c r="BH52" i="1"/>
  <c r="AV35" i="1"/>
  <c r="AZ35" i="1" s="1"/>
  <c r="BF35" i="1" s="1"/>
  <c r="BH23" i="1"/>
  <c r="AX23" i="1"/>
  <c r="AY23" i="1" s="1"/>
  <c r="BA23" i="1" s="1"/>
  <c r="BI23" i="1" s="1"/>
  <c r="BF39" i="1"/>
  <c r="AI30" i="1"/>
  <c r="AJ30" i="1" s="1"/>
  <c r="AL30" i="1" s="1"/>
  <c r="AT30" i="1" s="1"/>
  <c r="AS30" i="1"/>
  <c r="AS26" i="1"/>
  <c r="AQ40" i="1"/>
  <c r="BH35" i="1"/>
  <c r="AT48" i="1"/>
  <c r="AR48" i="1"/>
  <c r="AQ22" i="1"/>
  <c r="AI22" i="1"/>
  <c r="AJ22" i="1" s="1"/>
  <c r="AL22" i="1" s="1"/>
  <c r="AQ27" i="1"/>
  <c r="AQ28" i="1"/>
  <c r="AT40" i="1"/>
  <c r="AR40" i="1"/>
  <c r="AQ24" i="1"/>
  <c r="AI24" i="1"/>
  <c r="AJ24" i="1" s="1"/>
  <c r="AL24" i="1" s="1"/>
  <c r="AT42" i="1"/>
  <c r="AR42" i="1"/>
  <c r="L31" i="2"/>
  <c r="AS24" i="1"/>
  <c r="BH27" i="1"/>
  <c r="AX27" i="1"/>
  <c r="AY27" i="1" s="1"/>
  <c r="BA27" i="1" s="1"/>
  <c r="BF27" i="1"/>
  <c r="BF33" i="1"/>
  <c r="AT34" i="1"/>
  <c r="BF37" i="1"/>
  <c r="AQ38" i="1"/>
  <c r="BI39" i="1"/>
  <c r="BG39" i="1"/>
  <c r="AT44" i="1"/>
  <c r="J140" i="2"/>
  <c r="E140" i="2"/>
  <c r="BH31" i="1"/>
  <c r="BF31" i="1"/>
  <c r="AX31" i="1"/>
  <c r="AY31" i="1" s="1"/>
  <c r="BA31" i="1" s="1"/>
  <c r="AS22" i="1"/>
  <c r="BH24" i="1"/>
  <c r="BF24" i="1"/>
  <c r="AX24" i="1"/>
  <c r="AY24" i="1" s="1"/>
  <c r="BA24" i="1" s="1"/>
  <c r="BI25" i="1"/>
  <c r="BG25" i="1"/>
  <c r="BF32" i="1"/>
  <c r="AX32" i="1"/>
  <c r="AY32" i="1" s="1"/>
  <c r="BA32" i="1" s="1"/>
  <c r="BH32" i="1"/>
  <c r="AS38" i="1"/>
  <c r="AI46" i="1"/>
  <c r="AJ46" i="1" s="1"/>
  <c r="AL46" i="1" s="1"/>
  <c r="AS46" i="1"/>
  <c r="AQ46" i="1"/>
  <c r="H5" i="2"/>
  <c r="G5" i="2"/>
  <c r="J19" i="2"/>
  <c r="E19" i="2"/>
  <c r="BH22" i="1"/>
  <c r="BF22" i="1"/>
  <c r="AX22" i="1"/>
  <c r="AY22" i="1" s="1"/>
  <c r="BA22" i="1" s="1"/>
  <c r="BH25" i="1"/>
  <c r="BF26" i="1"/>
  <c r="AX26" i="1"/>
  <c r="AY26" i="1" s="1"/>
  <c r="BA26" i="1" s="1"/>
  <c r="BH26" i="1"/>
  <c r="BH28" i="1"/>
  <c r="AR34" i="1"/>
  <c r="AI36" i="1"/>
  <c r="AJ36" i="1" s="1"/>
  <c r="AL36" i="1" s="1"/>
  <c r="AS36" i="1"/>
  <c r="AQ36" i="1"/>
  <c r="AS39" i="1"/>
  <c r="AQ39" i="1"/>
  <c r="AI39" i="1"/>
  <c r="AJ39" i="1" s="1"/>
  <c r="AL39" i="1" s="1"/>
  <c r="AS45" i="1"/>
  <c r="AQ45" i="1"/>
  <c r="AI45" i="1"/>
  <c r="AJ45" i="1" s="1"/>
  <c r="AL45" i="1" s="1"/>
  <c r="AQ44" i="1"/>
  <c r="AQ34" i="1"/>
  <c r="AQ30" i="1"/>
  <c r="AS40" i="1"/>
  <c r="AI25" i="1"/>
  <c r="AJ25" i="1" s="1"/>
  <c r="AL25" i="1" s="1"/>
  <c r="AS25" i="1"/>
  <c r="AQ25" i="1"/>
  <c r="AS28" i="1"/>
  <c r="BF29" i="1"/>
  <c r="AS34" i="1"/>
  <c r="AR44" i="1"/>
  <c r="AQ50" i="1"/>
  <c r="L15" i="2"/>
  <c r="H86" i="2"/>
  <c r="G86" i="2"/>
  <c r="K86" i="2" s="1"/>
  <c r="L85" i="2" s="1"/>
  <c r="AS23" i="1"/>
  <c r="AI23" i="1"/>
  <c r="AJ23" i="1" s="1"/>
  <c r="AL23" i="1" s="1"/>
  <c r="AQ23" i="1"/>
  <c r="BF25" i="1"/>
  <c r="AT28" i="1"/>
  <c r="AR28" i="1"/>
  <c r="AQ29" i="1"/>
  <c r="AS42" i="1"/>
  <c r="AS44" i="1"/>
  <c r="AS50" i="1"/>
  <c r="H45" i="2"/>
  <c r="G45" i="2"/>
  <c r="K45" i="2" s="1"/>
  <c r="BF23" i="1"/>
  <c r="AI26" i="1"/>
  <c r="AJ26" i="1" s="1"/>
  <c r="AL26" i="1" s="1"/>
  <c r="AQ26" i="1"/>
  <c r="AR27" i="1"/>
  <c r="AT27" i="1"/>
  <c r="AI32" i="1"/>
  <c r="AJ32" i="1" s="1"/>
  <c r="AL32" i="1" s="1"/>
  <c r="AQ32" i="1"/>
  <c r="AS32" i="1"/>
  <c r="AS48" i="1"/>
  <c r="J38" i="2"/>
  <c r="E38" i="2"/>
  <c r="E40" i="2"/>
  <c r="J40" i="2"/>
  <c r="L172" i="2"/>
  <c r="H42" i="2"/>
  <c r="G42" i="2"/>
  <c r="K42" i="2" s="1"/>
  <c r="J99" i="2"/>
  <c r="E99" i="2"/>
  <c r="J148" i="2"/>
  <c r="K148" i="2" s="1"/>
  <c r="L147" i="2" s="1"/>
  <c r="E148" i="2"/>
  <c r="AS27" i="1"/>
  <c r="BH30" i="1"/>
  <c r="AS31" i="1"/>
  <c r="AQ31" i="1"/>
  <c r="AI31" i="1"/>
  <c r="AJ31" i="1" s="1"/>
  <c r="AL31" i="1" s="1"/>
  <c r="BH34" i="1"/>
  <c r="AS35" i="1"/>
  <c r="AQ35" i="1"/>
  <c r="AI35" i="1"/>
  <c r="AJ35" i="1" s="1"/>
  <c r="AL35" i="1" s="1"/>
  <c r="AI38" i="1"/>
  <c r="AJ38" i="1" s="1"/>
  <c r="AL38" i="1" s="1"/>
  <c r="AI50" i="1"/>
  <c r="AJ50" i="1" s="1"/>
  <c r="AL50" i="1" s="1"/>
  <c r="K11" i="2"/>
  <c r="L10" i="2" s="1"/>
  <c r="J13" i="2"/>
  <c r="E13" i="2"/>
  <c r="J21" i="2"/>
  <c r="E21" i="2"/>
  <c r="H28" i="2"/>
  <c r="G28" i="2"/>
  <c r="K38" i="2"/>
  <c r="K40" i="2"/>
  <c r="L39" i="2" s="1"/>
  <c r="G104" i="2"/>
  <c r="K104" i="2" s="1"/>
  <c r="H104" i="2"/>
  <c r="L104" i="2"/>
  <c r="J35" i="2"/>
  <c r="E35" i="2"/>
  <c r="AS41" i="1"/>
  <c r="AQ41" i="1"/>
  <c r="AI41" i="1"/>
  <c r="AJ41" i="1" s="1"/>
  <c r="AL41" i="1" s="1"/>
  <c r="K19" i="2"/>
  <c r="K26" i="2"/>
  <c r="L25" i="2" s="1"/>
  <c r="K35" i="2"/>
  <c r="AS29" i="1"/>
  <c r="BH37" i="1"/>
  <c r="AQ42" i="1"/>
  <c r="AQ48" i="1"/>
  <c r="H12" i="2"/>
  <c r="G12" i="2"/>
  <c r="E18" i="2"/>
  <c r="L24" i="2"/>
  <c r="J39" i="2"/>
  <c r="K39" i="2" s="1"/>
  <c r="L38" i="2" s="1"/>
  <c r="E39" i="2"/>
  <c r="J46" i="2"/>
  <c r="K46" i="2" s="1"/>
  <c r="L45" i="2" s="1"/>
  <c r="E46" i="2"/>
  <c r="E71" i="2"/>
  <c r="J71" i="2"/>
  <c r="J160" i="2"/>
  <c r="E160" i="2"/>
  <c r="J5" i="2"/>
  <c r="E5" i="2"/>
  <c r="H21" i="2"/>
  <c r="G21" i="2"/>
  <c r="AS47" i="1"/>
  <c r="AQ47" i="1"/>
  <c r="AI47" i="1"/>
  <c r="AJ47" i="1" s="1"/>
  <c r="AL47" i="1" s="1"/>
  <c r="J37" i="2"/>
  <c r="K37" i="2" s="1"/>
  <c r="L36" i="2" s="1"/>
  <c r="E37" i="2"/>
  <c r="BH29" i="1"/>
  <c r="BF30" i="1"/>
  <c r="AX30" i="1"/>
  <c r="AY30" i="1" s="1"/>
  <c r="BA30" i="1" s="1"/>
  <c r="BH33" i="1"/>
  <c r="BF34" i="1"/>
  <c r="AX34" i="1"/>
  <c r="AY34" i="1" s="1"/>
  <c r="BA34" i="1" s="1"/>
  <c r="AS37" i="1"/>
  <c r="AQ37" i="1"/>
  <c r="AI37" i="1"/>
  <c r="AJ37" i="1" s="1"/>
  <c r="AL37" i="1" s="1"/>
  <c r="AS49" i="1"/>
  <c r="AQ49" i="1"/>
  <c r="AI49" i="1"/>
  <c r="AJ49" i="1" s="1"/>
  <c r="AL49" i="1" s="1"/>
  <c r="H6" i="2"/>
  <c r="G6" i="2"/>
  <c r="K6" i="2" s="1"/>
  <c r="K9" i="2"/>
  <c r="L8" i="2" s="1"/>
  <c r="J12" i="2"/>
  <c r="K18" i="2"/>
  <c r="L17" i="2" s="1"/>
  <c r="H20" i="2"/>
  <c r="G20" i="2"/>
  <c r="K24" i="2"/>
  <c r="L23" i="2" s="1"/>
  <c r="J41" i="2"/>
  <c r="K41" i="2" s="1"/>
  <c r="L40" i="2" s="1"/>
  <c r="E41" i="2"/>
  <c r="E135" i="2"/>
  <c r="J135" i="2"/>
  <c r="H13" i="2"/>
  <c r="G13" i="2"/>
  <c r="K13" i="2" s="1"/>
  <c r="H4" i="2"/>
  <c r="G4" i="2"/>
  <c r="K4" i="2" s="1"/>
  <c r="J28" i="2"/>
  <c r="E28" i="2"/>
  <c r="AI29" i="1"/>
  <c r="AJ29" i="1" s="1"/>
  <c r="AL29" i="1" s="1"/>
  <c r="AS33" i="1"/>
  <c r="AQ33" i="1"/>
  <c r="AI33" i="1"/>
  <c r="AJ33" i="1" s="1"/>
  <c r="AL33" i="1" s="1"/>
  <c r="AX37" i="1"/>
  <c r="AY37" i="1" s="1"/>
  <c r="BA37" i="1" s="1"/>
  <c r="AS43" i="1"/>
  <c r="AQ43" i="1"/>
  <c r="AI43" i="1"/>
  <c r="AJ43" i="1" s="1"/>
  <c r="AL43" i="1" s="1"/>
  <c r="J3" i="2"/>
  <c r="K3" i="2" s="1"/>
  <c r="E4" i="2"/>
  <c r="H7" i="2"/>
  <c r="H14" i="2"/>
  <c r="G14" i="2"/>
  <c r="K14" i="2" s="1"/>
  <c r="L13" i="2" s="1"/>
  <c r="K17" i="2"/>
  <c r="L16" i="2" s="1"/>
  <c r="J20" i="2"/>
  <c r="E20" i="2"/>
  <c r="H22" i="2"/>
  <c r="G22" i="2"/>
  <c r="K22" i="2" s="1"/>
  <c r="J27" i="2"/>
  <c r="K27" i="2" s="1"/>
  <c r="L26" i="2" s="1"/>
  <c r="E27" i="2"/>
  <c r="H29" i="2"/>
  <c r="G29" i="2"/>
  <c r="K29" i="2" s="1"/>
  <c r="K34" i="2"/>
  <c r="L33" i="2" s="1"/>
  <c r="J36" i="2"/>
  <c r="K36" i="2" s="1"/>
  <c r="L35" i="2" s="1"/>
  <c r="E36" i="2"/>
  <c r="L48" i="2"/>
  <c r="L50" i="2"/>
  <c r="H57" i="2"/>
  <c r="G57" i="2"/>
  <c r="K57" i="2" s="1"/>
  <c r="AV38" i="1"/>
  <c r="AZ38" i="1" s="1"/>
  <c r="AV36" i="1"/>
  <c r="AZ36" i="1" s="1"/>
  <c r="BF28" i="1"/>
  <c r="AX28" i="1"/>
  <c r="AY28" i="1" s="1"/>
  <c r="BA28" i="1" s="1"/>
  <c r="BI29" i="1"/>
  <c r="BG29" i="1"/>
  <c r="BI33" i="1"/>
  <c r="BG33" i="1"/>
  <c r="BH39" i="1"/>
  <c r="AS51" i="1"/>
  <c r="AQ51" i="1"/>
  <c r="AI51" i="1"/>
  <c r="AJ51" i="1" s="1"/>
  <c r="AL51" i="1" s="1"/>
  <c r="J11" i="2"/>
  <c r="H15" i="2"/>
  <c r="L32" i="2"/>
  <c r="J76" i="2"/>
  <c r="E76" i="2"/>
  <c r="H109" i="2"/>
  <c r="G109" i="2"/>
  <c r="K109" i="2" s="1"/>
  <c r="J117" i="2"/>
  <c r="E117" i="2"/>
  <c r="J60" i="2"/>
  <c r="K60" i="2" s="1"/>
  <c r="E60" i="2"/>
  <c r="J68" i="2"/>
  <c r="K68" i="2" s="1"/>
  <c r="L67" i="2" s="1"/>
  <c r="E68" i="2"/>
  <c r="H78" i="2"/>
  <c r="G78" i="2"/>
  <c r="K78" i="2" s="1"/>
  <c r="L77" i="2" s="1"/>
  <c r="H101" i="2"/>
  <c r="G101" i="2"/>
  <c r="K101" i="2" s="1"/>
  <c r="L113" i="2"/>
  <c r="J132" i="2"/>
  <c r="E132" i="2"/>
  <c r="H142" i="2"/>
  <c r="G142" i="2"/>
  <c r="H70" i="2"/>
  <c r="G70" i="2"/>
  <c r="K70" i="2" s="1"/>
  <c r="K76" i="2"/>
  <c r="L87" i="2"/>
  <c r="E91" i="2"/>
  <c r="H93" i="2"/>
  <c r="G93" i="2"/>
  <c r="K93" i="2" s="1"/>
  <c r="K99" i="2"/>
  <c r="L98" i="2" s="1"/>
  <c r="L105" i="2"/>
  <c r="J124" i="2"/>
  <c r="E124" i="2"/>
  <c r="H134" i="2"/>
  <c r="G134" i="2"/>
  <c r="K134" i="2" s="1"/>
  <c r="K140" i="2"/>
  <c r="J142" i="2"/>
  <c r="E42" i="2"/>
  <c r="E45" i="2"/>
  <c r="H62" i="2"/>
  <c r="G62" i="2"/>
  <c r="J63" i="2"/>
  <c r="E83" i="2"/>
  <c r="H85" i="2"/>
  <c r="G85" i="2"/>
  <c r="K85" i="2" s="1"/>
  <c r="K91" i="2"/>
  <c r="L90" i="2" s="1"/>
  <c r="L97" i="2"/>
  <c r="E109" i="2"/>
  <c r="J116" i="2"/>
  <c r="K116" i="2" s="1"/>
  <c r="L115" i="2" s="1"/>
  <c r="E116" i="2"/>
  <c r="H126" i="2"/>
  <c r="G126" i="2"/>
  <c r="K126" i="2" s="1"/>
  <c r="L125" i="2" s="1"/>
  <c r="J127" i="2"/>
  <c r="K132" i="2"/>
  <c r="J150" i="2"/>
  <c r="E150" i="2"/>
  <c r="E153" i="2"/>
  <c r="J153" i="2"/>
  <c r="E161" i="2"/>
  <c r="J161" i="2"/>
  <c r="E29" i="2"/>
  <c r="E43" i="2"/>
  <c r="E44" i="2"/>
  <c r="J52" i="2"/>
  <c r="E53" i="2"/>
  <c r="E59" i="2"/>
  <c r="J62" i="2"/>
  <c r="K72" i="2"/>
  <c r="E75" i="2"/>
  <c r="H77" i="2"/>
  <c r="G77" i="2"/>
  <c r="K77" i="2" s="1"/>
  <c r="L76" i="2" s="1"/>
  <c r="K83" i="2"/>
  <c r="L82" i="2" s="1"/>
  <c r="K90" i="2"/>
  <c r="L89" i="2" s="1"/>
  <c r="H96" i="2"/>
  <c r="E101" i="2"/>
  <c r="J108" i="2"/>
  <c r="E108" i="2"/>
  <c r="H118" i="2"/>
  <c r="G118" i="2"/>
  <c r="K118" i="2" s="1"/>
  <c r="J119" i="2"/>
  <c r="K124" i="2"/>
  <c r="J126" i="2"/>
  <c r="K136" i="2"/>
  <c r="E139" i="2"/>
  <c r="H141" i="2"/>
  <c r="G141" i="2"/>
  <c r="K141" i="2" s="1"/>
  <c r="K144" i="2"/>
  <c r="E147" i="2"/>
  <c r="L155" i="2"/>
  <c r="K44" i="2"/>
  <c r="L43" i="2" s="1"/>
  <c r="G53" i="2"/>
  <c r="K53" i="2" s="1"/>
  <c r="H56" i="2"/>
  <c r="K59" i="2"/>
  <c r="L58" i="2" s="1"/>
  <c r="K64" i="2"/>
  <c r="E67" i="2"/>
  <c r="H69" i="2"/>
  <c r="G69" i="2"/>
  <c r="K69" i="2" s="1"/>
  <c r="K75" i="2"/>
  <c r="L81" i="2"/>
  <c r="H88" i="2"/>
  <c r="E93" i="2"/>
  <c r="J100" i="2"/>
  <c r="K100" i="2" s="1"/>
  <c r="L99" i="2" s="1"/>
  <c r="E100" i="2"/>
  <c r="H110" i="2"/>
  <c r="G110" i="2"/>
  <c r="K110" i="2" s="1"/>
  <c r="L109" i="2" s="1"/>
  <c r="J111" i="2"/>
  <c r="K128" i="2"/>
  <c r="E131" i="2"/>
  <c r="H133" i="2"/>
  <c r="G133" i="2"/>
  <c r="K133" i="2" s="1"/>
  <c r="L132" i="2" s="1"/>
  <c r="K139" i="2"/>
  <c r="K147" i="2"/>
  <c r="L146" i="2" s="1"/>
  <c r="K150" i="2"/>
  <c r="H169" i="2"/>
  <c r="G169" i="2"/>
  <c r="K169" i="2" s="1"/>
  <c r="L169" i="2" s="1"/>
  <c r="G30" i="2"/>
  <c r="K30" i="2" s="1"/>
  <c r="L29" i="2" s="1"/>
  <c r="H47" i="2"/>
  <c r="G47" i="2"/>
  <c r="K47" i="2" s="1"/>
  <c r="J56" i="2"/>
  <c r="K56" i="2" s="1"/>
  <c r="L55" i="2" s="1"/>
  <c r="K67" i="2"/>
  <c r="L66" i="2" s="1"/>
  <c r="K74" i="2"/>
  <c r="L73" i="2" s="1"/>
  <c r="H80" i="2"/>
  <c r="J92" i="2"/>
  <c r="K92" i="2" s="1"/>
  <c r="L91" i="2" s="1"/>
  <c r="E92" i="2"/>
  <c r="H102" i="2"/>
  <c r="G102" i="2"/>
  <c r="J103" i="2"/>
  <c r="K108" i="2"/>
  <c r="L107" i="2" s="1"/>
  <c r="K120" i="2"/>
  <c r="L120" i="2" s="1"/>
  <c r="E123" i="2"/>
  <c r="H125" i="2"/>
  <c r="G125" i="2"/>
  <c r="K125" i="2" s="1"/>
  <c r="L124" i="2" s="1"/>
  <c r="K131" i="2"/>
  <c r="K138" i="2"/>
  <c r="L137" i="2" s="1"/>
  <c r="K146" i="2"/>
  <c r="L145" i="2" s="1"/>
  <c r="E154" i="2"/>
  <c r="J154" i="2"/>
  <c r="K154" i="2" s="1"/>
  <c r="J158" i="2"/>
  <c r="K158" i="2" s="1"/>
  <c r="L157" i="2" s="1"/>
  <c r="E158" i="2"/>
  <c r="J167" i="2"/>
  <c r="E167" i="2"/>
  <c r="H177" i="2"/>
  <c r="G177" i="2"/>
  <c r="E47" i="2"/>
  <c r="H48" i="2"/>
  <c r="K52" i="2"/>
  <c r="L51" i="2" s="1"/>
  <c r="H54" i="2"/>
  <c r="G54" i="2"/>
  <c r="K54" i="2" s="1"/>
  <c r="L53" i="2" s="1"/>
  <c r="K66" i="2"/>
  <c r="L65" i="2" s="1"/>
  <c r="H72" i="2"/>
  <c r="E77" i="2"/>
  <c r="J84" i="2"/>
  <c r="K84" i="2" s="1"/>
  <c r="L83" i="2" s="1"/>
  <c r="E84" i="2"/>
  <c r="H94" i="2"/>
  <c r="G94" i="2"/>
  <c r="K94" i="2" s="1"/>
  <c r="L93" i="2" s="1"/>
  <c r="J95" i="2"/>
  <c r="J102" i="2"/>
  <c r="K112" i="2"/>
  <c r="E115" i="2"/>
  <c r="H117" i="2"/>
  <c r="G117" i="2"/>
  <c r="K117" i="2" s="1"/>
  <c r="K123" i="2"/>
  <c r="L122" i="2" s="1"/>
  <c r="K130" i="2"/>
  <c r="L129" i="2" s="1"/>
  <c r="H136" i="2"/>
  <c r="E141" i="2"/>
  <c r="H144" i="2"/>
  <c r="E149" i="2"/>
  <c r="H175" i="2"/>
  <c r="G175" i="2"/>
  <c r="H153" i="2"/>
  <c r="G153" i="2"/>
  <c r="K153" i="2" s="1"/>
  <c r="H160" i="2"/>
  <c r="G160" i="2"/>
  <c r="K160" i="2" s="1"/>
  <c r="J166" i="2"/>
  <c r="K172" i="2"/>
  <c r="L171" i="2" s="1"/>
  <c r="J175" i="2"/>
  <c r="K149" i="2"/>
  <c r="H152" i="2"/>
  <c r="G152" i="2"/>
  <c r="K152" i="2" s="1"/>
  <c r="K157" i="2"/>
  <c r="L156" i="2" s="1"/>
  <c r="H168" i="2"/>
  <c r="G168" i="2"/>
  <c r="K168" i="2" s="1"/>
  <c r="L167" i="2" s="1"/>
  <c r="H159" i="2"/>
  <c r="G159" i="2"/>
  <c r="K166" i="2"/>
  <c r="J168" i="2"/>
  <c r="E168" i="2"/>
  <c r="G55" i="2"/>
  <c r="K55" i="2" s="1"/>
  <c r="L54" i="2" s="1"/>
  <c r="G63" i="2"/>
  <c r="K63" i="2" s="1"/>
  <c r="G71" i="2"/>
  <c r="K71" i="2" s="1"/>
  <c r="L70" i="2" s="1"/>
  <c r="G79" i="2"/>
  <c r="K79" i="2" s="1"/>
  <c r="L78" i="2" s="1"/>
  <c r="G87" i="2"/>
  <c r="K87" i="2" s="1"/>
  <c r="G95" i="2"/>
  <c r="K95" i="2" s="1"/>
  <c r="G103" i="2"/>
  <c r="K103" i="2" s="1"/>
  <c r="G111" i="2"/>
  <c r="K111" i="2" s="1"/>
  <c r="G119" i="2"/>
  <c r="K119" i="2" s="1"/>
  <c r="L118" i="2" s="1"/>
  <c r="G127" i="2"/>
  <c r="K127" i="2" s="1"/>
  <c r="G135" i="2"/>
  <c r="K135" i="2" s="1"/>
  <c r="L134" i="2" s="1"/>
  <c r="J159" i="2"/>
  <c r="E165" i="2"/>
  <c r="E174" i="2"/>
  <c r="H176" i="2"/>
  <c r="G176" i="2"/>
  <c r="J177" i="2"/>
  <c r="J151" i="2"/>
  <c r="K151" i="2" s="1"/>
  <c r="L150" i="2" s="1"/>
  <c r="E152" i="2"/>
  <c r="H161" i="2"/>
  <c r="G161" i="2"/>
  <c r="K165" i="2"/>
  <c r="L164" i="2" s="1"/>
  <c r="H167" i="2"/>
  <c r="G167" i="2"/>
  <c r="K167" i="2" s="1"/>
  <c r="L166" i="2" s="1"/>
  <c r="K174" i="2"/>
  <c r="L173" i="2" s="1"/>
  <c r="J176" i="2"/>
  <c r="E176" i="2"/>
  <c r="Y84" i="1" l="1"/>
  <c r="Z84" i="1" s="1"/>
  <c r="AA84" i="1" s="1"/>
  <c r="Y158" i="1"/>
  <c r="Z158" i="1" s="1"/>
  <c r="AA158" i="1" s="1"/>
  <c r="Y118" i="1"/>
  <c r="Z118" i="1" s="1"/>
  <c r="AA118" i="1" s="1"/>
  <c r="Y150" i="1"/>
  <c r="Z150" i="1" s="1"/>
  <c r="AA150" i="1" s="1"/>
  <c r="Y183" i="1"/>
  <c r="Z183" i="1" s="1"/>
  <c r="AA183" i="1" s="1"/>
  <c r="Y198" i="1"/>
  <c r="Z198" i="1" s="1"/>
  <c r="AA198" i="1" s="1"/>
  <c r="Y135" i="1"/>
  <c r="Z135" i="1" s="1"/>
  <c r="AA135" i="1" s="1"/>
  <c r="BI110" i="1"/>
  <c r="BG110" i="1"/>
  <c r="Y110" i="1" s="1"/>
  <c r="Z110" i="1" s="1"/>
  <c r="AA110" i="1" s="1"/>
  <c r="Y144" i="1"/>
  <c r="Z144" i="1" s="1"/>
  <c r="AA144" i="1" s="1"/>
  <c r="Y86" i="1"/>
  <c r="Z86" i="1" s="1"/>
  <c r="AA86" i="1" s="1"/>
  <c r="Y93" i="1"/>
  <c r="Z93" i="1" s="1"/>
  <c r="AA93" i="1" s="1"/>
  <c r="Y120" i="1"/>
  <c r="Z120" i="1" s="1"/>
  <c r="AA120" i="1" s="1"/>
  <c r="BG71" i="1"/>
  <c r="BI71" i="1"/>
  <c r="Y174" i="1"/>
  <c r="Z174" i="1" s="1"/>
  <c r="AA174" i="1" s="1"/>
  <c r="Y75" i="1"/>
  <c r="Z75" i="1" s="1"/>
  <c r="AA75" i="1" s="1"/>
  <c r="Y142" i="1"/>
  <c r="Z142" i="1" s="1"/>
  <c r="AA142" i="1" s="1"/>
  <c r="Y129" i="1"/>
  <c r="Z129" i="1" s="1"/>
  <c r="AA129" i="1" s="1"/>
  <c r="Y155" i="1"/>
  <c r="Z155" i="1" s="1"/>
  <c r="AA155" i="1" s="1"/>
  <c r="Y177" i="1"/>
  <c r="Z177" i="1" s="1"/>
  <c r="AA177" i="1" s="1"/>
  <c r="Y128" i="1"/>
  <c r="Z128" i="1" s="1"/>
  <c r="AA128" i="1" s="1"/>
  <c r="Y146" i="1"/>
  <c r="Z146" i="1" s="1"/>
  <c r="AA146" i="1" s="1"/>
  <c r="Y123" i="1"/>
  <c r="Z123" i="1" s="1"/>
  <c r="AA123" i="1" s="1"/>
  <c r="Y188" i="1"/>
  <c r="Z188" i="1" s="1"/>
  <c r="AA188" i="1" s="1"/>
  <c r="Y195" i="1"/>
  <c r="Z195" i="1" s="1"/>
  <c r="AA195" i="1" s="1"/>
  <c r="Y78" i="1"/>
  <c r="Z78" i="1" s="1"/>
  <c r="AA78" i="1" s="1"/>
  <c r="Y112" i="1"/>
  <c r="Z112" i="1" s="1"/>
  <c r="AA112" i="1" s="1"/>
  <c r="Y182" i="1"/>
  <c r="Z182" i="1" s="1"/>
  <c r="AA182" i="1" s="1"/>
  <c r="Y97" i="1"/>
  <c r="Z97" i="1" s="1"/>
  <c r="AA97" i="1" s="1"/>
  <c r="Y101" i="1"/>
  <c r="Z101" i="1" s="1"/>
  <c r="AA101" i="1" s="1"/>
  <c r="Y125" i="1"/>
  <c r="Z125" i="1" s="1"/>
  <c r="AA125" i="1" s="1"/>
  <c r="Y167" i="1"/>
  <c r="Z167" i="1" s="1"/>
  <c r="AA167" i="1" s="1"/>
  <c r="Y196" i="1"/>
  <c r="Z196" i="1" s="1"/>
  <c r="AA196" i="1" s="1"/>
  <c r="Y82" i="1"/>
  <c r="Z82" i="1" s="1"/>
  <c r="AA82" i="1" s="1"/>
  <c r="Y130" i="1"/>
  <c r="Z130" i="1" s="1"/>
  <c r="AA130" i="1" s="1"/>
  <c r="Y105" i="1"/>
  <c r="Z105" i="1" s="1"/>
  <c r="AA105" i="1" s="1"/>
  <c r="Y138" i="1"/>
  <c r="Z138" i="1" s="1"/>
  <c r="AA138" i="1" s="1"/>
  <c r="Y164" i="1"/>
  <c r="Z164" i="1" s="1"/>
  <c r="AA164" i="1" s="1"/>
  <c r="Y170" i="1"/>
  <c r="Z170" i="1" s="1"/>
  <c r="AA170" i="1" s="1"/>
  <c r="Y121" i="1"/>
  <c r="Z121" i="1" s="1"/>
  <c r="AA121" i="1" s="1"/>
  <c r="Y161" i="1"/>
  <c r="Z161" i="1" s="1"/>
  <c r="AA161" i="1" s="1"/>
  <c r="AT88" i="1"/>
  <c r="AR88" i="1"/>
  <c r="AT141" i="1"/>
  <c r="AR141" i="1"/>
  <c r="AR181" i="1"/>
  <c r="AT181" i="1"/>
  <c r="AR197" i="1"/>
  <c r="AT197" i="1"/>
  <c r="AR194" i="1"/>
  <c r="AT194" i="1"/>
  <c r="AT153" i="1"/>
  <c r="AR153" i="1"/>
  <c r="AR177" i="1"/>
  <c r="AT177" i="1"/>
  <c r="AT191" i="1"/>
  <c r="AR191" i="1"/>
  <c r="AR156" i="1"/>
  <c r="AT156" i="1"/>
  <c r="AT171" i="1"/>
  <c r="AR171" i="1"/>
  <c r="AR107" i="1"/>
  <c r="AT107" i="1"/>
  <c r="AR89" i="1"/>
  <c r="AT89" i="1"/>
  <c r="AR122" i="1"/>
  <c r="AT122" i="1"/>
  <c r="AT111" i="1"/>
  <c r="AR111" i="1"/>
  <c r="AT157" i="1"/>
  <c r="AR157" i="1"/>
  <c r="AR116" i="1"/>
  <c r="AT116" i="1"/>
  <c r="AR184" i="1"/>
  <c r="AT184" i="1"/>
  <c r="AT98" i="1"/>
  <c r="AR98" i="1"/>
  <c r="AR52" i="1"/>
  <c r="AT52" i="1"/>
  <c r="AT94" i="1"/>
  <c r="AR94" i="1"/>
  <c r="AP79" i="1"/>
  <c r="AS79" i="1"/>
  <c r="AT123" i="1"/>
  <c r="AR123" i="1"/>
  <c r="AT147" i="1"/>
  <c r="AR147" i="1"/>
  <c r="AR53" i="1"/>
  <c r="AT53" i="1"/>
  <c r="AR108" i="1"/>
  <c r="AT108" i="1"/>
  <c r="AR110" i="1"/>
  <c r="AT110" i="1"/>
  <c r="AT165" i="1"/>
  <c r="AR165" i="1"/>
  <c r="AR174" i="1"/>
  <c r="AT174" i="1"/>
  <c r="AR198" i="1"/>
  <c r="AT198" i="1"/>
  <c r="AT72" i="1"/>
  <c r="AR72" i="1"/>
  <c r="AT68" i="1"/>
  <c r="AR68" i="1"/>
  <c r="AT113" i="1"/>
  <c r="AR113" i="1"/>
  <c r="AR170" i="1"/>
  <c r="AT170" i="1"/>
  <c r="AR133" i="1"/>
  <c r="AT133" i="1"/>
  <c r="AR190" i="1"/>
  <c r="AT190" i="1"/>
  <c r="AP70" i="1"/>
  <c r="AS70" i="1"/>
  <c r="AR152" i="1"/>
  <c r="AT152" i="1"/>
  <c r="AR144" i="1"/>
  <c r="AT144" i="1"/>
  <c r="AR56" i="1"/>
  <c r="AT56" i="1"/>
  <c r="AS120" i="1"/>
  <c r="AR71" i="1"/>
  <c r="AT71" i="1"/>
  <c r="AR135" i="1"/>
  <c r="AT135" i="1"/>
  <c r="AT125" i="1"/>
  <c r="AR125" i="1"/>
  <c r="AT159" i="1"/>
  <c r="AR159" i="1"/>
  <c r="AS102" i="1"/>
  <c r="AR61" i="1"/>
  <c r="AT61" i="1"/>
  <c r="AR77" i="1"/>
  <c r="AT77" i="1"/>
  <c r="AT119" i="1"/>
  <c r="AR119" i="1"/>
  <c r="AR160" i="1"/>
  <c r="AT160" i="1"/>
  <c r="AT70" i="1"/>
  <c r="AT169" i="1"/>
  <c r="AR169" i="1"/>
  <c r="AR192" i="1"/>
  <c r="AT192" i="1"/>
  <c r="AT161" i="1"/>
  <c r="AR161" i="1"/>
  <c r="AR193" i="1"/>
  <c r="AT193" i="1"/>
  <c r="AR140" i="1"/>
  <c r="AT140" i="1"/>
  <c r="AT131" i="1"/>
  <c r="AR131" i="1"/>
  <c r="AT145" i="1"/>
  <c r="AR145" i="1"/>
  <c r="AT74" i="1"/>
  <c r="AR74" i="1"/>
  <c r="AT167" i="1"/>
  <c r="AR167" i="1"/>
  <c r="AT90" i="1"/>
  <c r="AR90" i="1"/>
  <c r="AR60" i="1"/>
  <c r="AT60" i="1"/>
  <c r="AT100" i="1"/>
  <c r="AR100" i="1"/>
  <c r="AT104" i="1"/>
  <c r="AR104" i="1"/>
  <c r="AR114" i="1"/>
  <c r="AT114" i="1"/>
  <c r="AR103" i="1"/>
  <c r="AT103" i="1"/>
  <c r="AT76" i="1"/>
  <c r="AR76" i="1"/>
  <c r="AS116" i="1"/>
  <c r="AS99" i="1"/>
  <c r="AT126" i="1"/>
  <c r="AR136" i="1"/>
  <c r="AT136" i="1"/>
  <c r="AR121" i="1"/>
  <c r="AT121" i="1"/>
  <c r="AT137" i="1"/>
  <c r="AR137" i="1"/>
  <c r="AT149" i="1"/>
  <c r="AR149" i="1"/>
  <c r="AR124" i="1"/>
  <c r="AT124" i="1"/>
  <c r="AT183" i="1"/>
  <c r="AR183" i="1"/>
  <c r="AR164" i="1"/>
  <c r="AT164" i="1"/>
  <c r="AR182" i="1"/>
  <c r="AT182" i="1"/>
  <c r="AR105" i="1"/>
  <c r="AT105" i="1"/>
  <c r="AT115" i="1"/>
  <c r="AR115" i="1"/>
  <c r="AT143" i="1"/>
  <c r="AR143" i="1"/>
  <c r="AR75" i="1"/>
  <c r="AT75" i="1"/>
  <c r="AT175" i="1"/>
  <c r="AR175" i="1"/>
  <c r="AT109" i="1"/>
  <c r="AR109" i="1"/>
  <c r="AT155" i="1"/>
  <c r="AR155" i="1"/>
  <c r="AR128" i="1"/>
  <c r="AT128" i="1"/>
  <c r="AT96" i="1"/>
  <c r="AR96" i="1"/>
  <c r="AT82" i="1"/>
  <c r="AR82" i="1"/>
  <c r="AR87" i="1"/>
  <c r="AT87" i="1"/>
  <c r="AR57" i="1"/>
  <c r="AT57" i="1"/>
  <c r="AT80" i="1"/>
  <c r="AR80" i="1"/>
  <c r="AT151" i="1"/>
  <c r="AR151" i="1"/>
  <c r="AR91" i="1"/>
  <c r="AT91" i="1"/>
  <c r="AT106" i="1"/>
  <c r="AR106" i="1"/>
  <c r="AR73" i="1"/>
  <c r="AT73" i="1"/>
  <c r="AT66" i="1"/>
  <c r="AR66" i="1"/>
  <c r="AR189" i="1"/>
  <c r="AT189" i="1"/>
  <c r="AR176" i="1"/>
  <c r="AT176" i="1"/>
  <c r="AT168" i="1"/>
  <c r="AT84" i="1"/>
  <c r="AR84" i="1"/>
  <c r="AT64" i="1"/>
  <c r="AR64" i="1"/>
  <c r="AT139" i="1"/>
  <c r="AR139" i="1"/>
  <c r="AT163" i="1"/>
  <c r="AR163" i="1"/>
  <c r="AT117" i="1"/>
  <c r="AR117" i="1"/>
  <c r="AR173" i="1"/>
  <c r="AT173" i="1"/>
  <c r="AR186" i="1"/>
  <c r="AT186" i="1"/>
  <c r="AT92" i="1"/>
  <c r="AR92" i="1"/>
  <c r="AR178" i="1"/>
  <c r="AT178" i="1"/>
  <c r="AR200" i="1"/>
  <c r="AT200" i="1"/>
  <c r="AR185" i="1"/>
  <c r="AT185" i="1"/>
  <c r="AT199" i="1"/>
  <c r="AR199" i="1"/>
  <c r="AR148" i="1"/>
  <c r="AT148" i="1"/>
  <c r="BG184" i="1"/>
  <c r="Y184" i="1" s="1"/>
  <c r="Z184" i="1" s="1"/>
  <c r="AA184" i="1" s="1"/>
  <c r="BI184" i="1"/>
  <c r="BG79" i="1"/>
  <c r="Y79" i="1" s="1"/>
  <c r="Z79" i="1" s="1"/>
  <c r="AA79" i="1" s="1"/>
  <c r="BI79" i="1"/>
  <c r="BI74" i="1"/>
  <c r="BG74" i="1"/>
  <c r="Y74" i="1" s="1"/>
  <c r="Z74" i="1" s="1"/>
  <c r="AA74" i="1" s="1"/>
  <c r="BG172" i="1"/>
  <c r="Y172" i="1" s="1"/>
  <c r="Z172" i="1" s="1"/>
  <c r="AA172" i="1" s="1"/>
  <c r="BI172" i="1"/>
  <c r="BG175" i="1"/>
  <c r="Y175" i="1" s="1"/>
  <c r="Z175" i="1" s="1"/>
  <c r="AA175" i="1" s="1"/>
  <c r="BI175" i="1"/>
  <c r="BG141" i="1"/>
  <c r="Y141" i="1" s="1"/>
  <c r="Z141" i="1" s="1"/>
  <c r="AA141" i="1" s="1"/>
  <c r="BI141" i="1"/>
  <c r="BI72" i="1"/>
  <c r="BG72" i="1"/>
  <c r="Y72" i="1" s="1"/>
  <c r="Z72" i="1" s="1"/>
  <c r="AA72" i="1" s="1"/>
  <c r="BI56" i="1"/>
  <c r="BG56" i="1"/>
  <c r="BG85" i="1"/>
  <c r="Y85" i="1" s="1"/>
  <c r="Z85" i="1" s="1"/>
  <c r="AA85" i="1" s="1"/>
  <c r="BI85" i="1"/>
  <c r="BG156" i="1"/>
  <c r="Y156" i="1" s="1"/>
  <c r="Z156" i="1" s="1"/>
  <c r="AA156" i="1" s="1"/>
  <c r="BI156" i="1"/>
  <c r="BI131" i="1"/>
  <c r="BG131" i="1"/>
  <c r="Y131" i="1" s="1"/>
  <c r="Z131" i="1" s="1"/>
  <c r="AA131" i="1" s="1"/>
  <c r="BI173" i="1"/>
  <c r="Y173" i="1" s="1"/>
  <c r="Z173" i="1" s="1"/>
  <c r="AA173" i="1" s="1"/>
  <c r="BG173" i="1"/>
  <c r="BG153" i="1"/>
  <c r="Y153" i="1" s="1"/>
  <c r="Z153" i="1" s="1"/>
  <c r="AA153" i="1" s="1"/>
  <c r="BI153" i="1"/>
  <c r="BI177" i="1"/>
  <c r="BI166" i="1"/>
  <c r="BG166" i="1"/>
  <c r="Y166" i="1" s="1"/>
  <c r="Z166" i="1" s="1"/>
  <c r="AA166" i="1" s="1"/>
  <c r="BG187" i="1"/>
  <c r="Y187" i="1" s="1"/>
  <c r="Z187" i="1" s="1"/>
  <c r="AA187" i="1" s="1"/>
  <c r="BI187" i="1"/>
  <c r="BH177" i="1"/>
  <c r="BI100" i="1"/>
  <c r="BG100" i="1"/>
  <c r="BG149" i="1"/>
  <c r="Y149" i="1" s="1"/>
  <c r="Z149" i="1" s="1"/>
  <c r="AA149" i="1" s="1"/>
  <c r="BI149" i="1"/>
  <c r="BG194" i="1"/>
  <c r="BI194" i="1"/>
  <c r="BG77" i="1"/>
  <c r="Y77" i="1" s="1"/>
  <c r="Z77" i="1" s="1"/>
  <c r="AA77" i="1" s="1"/>
  <c r="BI77" i="1"/>
  <c r="BG127" i="1"/>
  <c r="Y127" i="1" s="1"/>
  <c r="Z127" i="1" s="1"/>
  <c r="AA127" i="1" s="1"/>
  <c r="BI127" i="1"/>
  <c r="BG133" i="1"/>
  <c r="Y133" i="1" s="1"/>
  <c r="Z133" i="1" s="1"/>
  <c r="AA133" i="1" s="1"/>
  <c r="BI133" i="1"/>
  <c r="BH193" i="1"/>
  <c r="Y193" i="1" s="1"/>
  <c r="Z193" i="1" s="1"/>
  <c r="AA193" i="1" s="1"/>
  <c r="BE193" i="1"/>
  <c r="BG91" i="1"/>
  <c r="Y91" i="1" s="1"/>
  <c r="Z91" i="1" s="1"/>
  <c r="AA91" i="1" s="1"/>
  <c r="BI91" i="1"/>
  <c r="BG119" i="1"/>
  <c r="Y119" i="1" s="1"/>
  <c r="Z119" i="1" s="1"/>
  <c r="AA119" i="1" s="1"/>
  <c r="BI119" i="1"/>
  <c r="BG192" i="1"/>
  <c r="Y192" i="1" s="1"/>
  <c r="Z192" i="1" s="1"/>
  <c r="AA192" i="1" s="1"/>
  <c r="BI192" i="1"/>
  <c r="BI96" i="1"/>
  <c r="BG96" i="1"/>
  <c r="Y96" i="1" s="1"/>
  <c r="Z96" i="1" s="1"/>
  <c r="AA96" i="1" s="1"/>
  <c r="BI154" i="1"/>
  <c r="Y154" i="1" s="1"/>
  <c r="Z154" i="1" s="1"/>
  <c r="AA154" i="1" s="1"/>
  <c r="BG154" i="1"/>
  <c r="BG136" i="1"/>
  <c r="Y136" i="1" s="1"/>
  <c r="Z136" i="1" s="1"/>
  <c r="AA136" i="1" s="1"/>
  <c r="BI136" i="1"/>
  <c r="BI52" i="1"/>
  <c r="BG52" i="1"/>
  <c r="BI64" i="1"/>
  <c r="BG64" i="1"/>
  <c r="BH114" i="1"/>
  <c r="Y114" i="1" s="1"/>
  <c r="Z114" i="1" s="1"/>
  <c r="AA114" i="1" s="1"/>
  <c r="BG105" i="1"/>
  <c r="BI105" i="1"/>
  <c r="BG95" i="1"/>
  <c r="BI95" i="1"/>
  <c r="Y95" i="1" s="1"/>
  <c r="Z95" i="1" s="1"/>
  <c r="AA95" i="1" s="1"/>
  <c r="BG129" i="1"/>
  <c r="BI129" i="1"/>
  <c r="BG168" i="1"/>
  <c r="Y168" i="1" s="1"/>
  <c r="Z168" i="1" s="1"/>
  <c r="AA168" i="1" s="1"/>
  <c r="BI168" i="1"/>
  <c r="BI90" i="1"/>
  <c r="BG90" i="1"/>
  <c r="Y90" i="1" s="1"/>
  <c r="Z90" i="1" s="1"/>
  <c r="AA90" i="1" s="1"/>
  <c r="BG183" i="1"/>
  <c r="BI183" i="1"/>
  <c r="BI104" i="1"/>
  <c r="BG104" i="1"/>
  <c r="Y104" i="1" s="1"/>
  <c r="Z104" i="1" s="1"/>
  <c r="AA104" i="1" s="1"/>
  <c r="BG157" i="1"/>
  <c r="Y157" i="1" s="1"/>
  <c r="Z157" i="1" s="1"/>
  <c r="AA157" i="1" s="1"/>
  <c r="BI157" i="1"/>
  <c r="BG132" i="1"/>
  <c r="Y132" i="1" s="1"/>
  <c r="Z132" i="1" s="1"/>
  <c r="AA132" i="1" s="1"/>
  <c r="BI132" i="1"/>
  <c r="BH196" i="1"/>
  <c r="BE196" i="1"/>
  <c r="BI196" i="1"/>
  <c r="BI197" i="1"/>
  <c r="BG197" i="1"/>
  <c r="Y197" i="1" s="1"/>
  <c r="Z197" i="1" s="1"/>
  <c r="AA197" i="1" s="1"/>
  <c r="BI60" i="1"/>
  <c r="BG60" i="1"/>
  <c r="BI102" i="1"/>
  <c r="BG102" i="1"/>
  <c r="BG140" i="1"/>
  <c r="Y140" i="1" s="1"/>
  <c r="Z140" i="1" s="1"/>
  <c r="AA140" i="1" s="1"/>
  <c r="BI140" i="1"/>
  <c r="BI88" i="1"/>
  <c r="BG88" i="1"/>
  <c r="Y88" i="1" s="1"/>
  <c r="Z88" i="1" s="1"/>
  <c r="AA88" i="1" s="1"/>
  <c r="BG87" i="1"/>
  <c r="Y87" i="1" s="1"/>
  <c r="Z87" i="1" s="1"/>
  <c r="AA87" i="1" s="1"/>
  <c r="BI87" i="1"/>
  <c r="BG93" i="1"/>
  <c r="BI93" i="1"/>
  <c r="BG159" i="1"/>
  <c r="Y159" i="1" s="1"/>
  <c r="Z159" i="1" s="1"/>
  <c r="AA159" i="1" s="1"/>
  <c r="BI159" i="1"/>
  <c r="BH73" i="1"/>
  <c r="Y73" i="1" s="1"/>
  <c r="Z73" i="1" s="1"/>
  <c r="AA73" i="1" s="1"/>
  <c r="BG111" i="1"/>
  <c r="Y111" i="1" s="1"/>
  <c r="Z111" i="1" s="1"/>
  <c r="AA111" i="1" s="1"/>
  <c r="BI111" i="1"/>
  <c r="BI76" i="1"/>
  <c r="BG76" i="1"/>
  <c r="Y76" i="1" s="1"/>
  <c r="Z76" i="1" s="1"/>
  <c r="AA76" i="1" s="1"/>
  <c r="BG120" i="1"/>
  <c r="BI120" i="1"/>
  <c r="BH169" i="1"/>
  <c r="BG180" i="1"/>
  <c r="BI180" i="1"/>
  <c r="Y180" i="1" s="1"/>
  <c r="Z180" i="1" s="1"/>
  <c r="AA180" i="1" s="1"/>
  <c r="BG179" i="1"/>
  <c r="Y179" i="1" s="1"/>
  <c r="Z179" i="1" s="1"/>
  <c r="AA179" i="1" s="1"/>
  <c r="BI179" i="1"/>
  <c r="BG143" i="1"/>
  <c r="Y143" i="1" s="1"/>
  <c r="Z143" i="1" s="1"/>
  <c r="AA143" i="1" s="1"/>
  <c r="BI143" i="1"/>
  <c r="BE191" i="1"/>
  <c r="BH191" i="1"/>
  <c r="Y191" i="1" s="1"/>
  <c r="Z191" i="1" s="1"/>
  <c r="AA191" i="1" s="1"/>
  <c r="BG151" i="1"/>
  <c r="Y151" i="1" s="1"/>
  <c r="Z151" i="1" s="1"/>
  <c r="AA151" i="1" s="1"/>
  <c r="BI151" i="1"/>
  <c r="BG176" i="1"/>
  <c r="Y176" i="1" s="1"/>
  <c r="Z176" i="1" s="1"/>
  <c r="AA176" i="1" s="1"/>
  <c r="BI176" i="1"/>
  <c r="BG101" i="1"/>
  <c r="BI101" i="1"/>
  <c r="BI122" i="1"/>
  <c r="BG122" i="1"/>
  <c r="BG108" i="1"/>
  <c r="Y108" i="1" s="1"/>
  <c r="Z108" i="1" s="1"/>
  <c r="AA108" i="1" s="1"/>
  <c r="BI108" i="1"/>
  <c r="BI114" i="1"/>
  <c r="BG114" i="1"/>
  <c r="BI98" i="1"/>
  <c r="BG98" i="1"/>
  <c r="Y98" i="1" s="1"/>
  <c r="Z98" i="1" s="1"/>
  <c r="AA98" i="1" s="1"/>
  <c r="BI84" i="1"/>
  <c r="BG84" i="1"/>
  <c r="BI80" i="1"/>
  <c r="BG80" i="1"/>
  <c r="Y80" i="1" s="1"/>
  <c r="Z80" i="1" s="1"/>
  <c r="AA80" i="1" s="1"/>
  <c r="BH113" i="1"/>
  <c r="Y113" i="1" s="1"/>
  <c r="Z113" i="1" s="1"/>
  <c r="AA113" i="1" s="1"/>
  <c r="BG145" i="1"/>
  <c r="Y145" i="1" s="1"/>
  <c r="Z145" i="1" s="1"/>
  <c r="AA145" i="1" s="1"/>
  <c r="BI145" i="1"/>
  <c r="BI82" i="1"/>
  <c r="BG82" i="1"/>
  <c r="BG137" i="1"/>
  <c r="Y137" i="1" s="1"/>
  <c r="Z137" i="1" s="1"/>
  <c r="AA137" i="1" s="1"/>
  <c r="BI137" i="1"/>
  <c r="BG169" i="1"/>
  <c r="Y169" i="1" s="1"/>
  <c r="Z169" i="1" s="1"/>
  <c r="AA169" i="1" s="1"/>
  <c r="BI169" i="1"/>
  <c r="BI193" i="1"/>
  <c r="BG126" i="1"/>
  <c r="Y126" i="1" s="1"/>
  <c r="Z126" i="1" s="1"/>
  <c r="AA126" i="1" s="1"/>
  <c r="BI126" i="1"/>
  <c r="BI162" i="1"/>
  <c r="Y162" i="1" s="1"/>
  <c r="Z162" i="1" s="1"/>
  <c r="AA162" i="1" s="1"/>
  <c r="BG162" i="1"/>
  <c r="BG152" i="1"/>
  <c r="Y152" i="1" s="1"/>
  <c r="Z152" i="1" s="1"/>
  <c r="AA152" i="1" s="1"/>
  <c r="BI152" i="1"/>
  <c r="BI73" i="1"/>
  <c r="BI181" i="1"/>
  <c r="Y181" i="1" s="1"/>
  <c r="Z181" i="1" s="1"/>
  <c r="AA181" i="1" s="1"/>
  <c r="BI68" i="1"/>
  <c r="BG68" i="1"/>
  <c r="BI92" i="1"/>
  <c r="BG92" i="1"/>
  <c r="BI70" i="1"/>
  <c r="BG70" i="1"/>
  <c r="Y70" i="1" s="1"/>
  <c r="Z70" i="1" s="1"/>
  <c r="AA70" i="1" s="1"/>
  <c r="BG103" i="1"/>
  <c r="Y103" i="1" s="1"/>
  <c r="Z103" i="1" s="1"/>
  <c r="AA103" i="1" s="1"/>
  <c r="BI103" i="1"/>
  <c r="BG81" i="1"/>
  <c r="Y81" i="1" s="1"/>
  <c r="Z81" i="1" s="1"/>
  <c r="AA81" i="1" s="1"/>
  <c r="BI81" i="1"/>
  <c r="BG115" i="1"/>
  <c r="Y115" i="1" s="1"/>
  <c r="Z115" i="1" s="1"/>
  <c r="AA115" i="1" s="1"/>
  <c r="BI115" i="1"/>
  <c r="BG117" i="1"/>
  <c r="Y117" i="1" s="1"/>
  <c r="Z117" i="1" s="1"/>
  <c r="AA117" i="1" s="1"/>
  <c r="BI117" i="1"/>
  <c r="BG171" i="1"/>
  <c r="Y171" i="1" s="1"/>
  <c r="Z171" i="1" s="1"/>
  <c r="AA171" i="1" s="1"/>
  <c r="BI171" i="1"/>
  <c r="BG164" i="1"/>
  <c r="BI164" i="1"/>
  <c r="BG163" i="1"/>
  <c r="Y163" i="1" s="1"/>
  <c r="Z163" i="1" s="1"/>
  <c r="AA163" i="1" s="1"/>
  <c r="BI163" i="1"/>
  <c r="BG188" i="1"/>
  <c r="BI188" i="1"/>
  <c r="BG83" i="1"/>
  <c r="Y83" i="1" s="1"/>
  <c r="Z83" i="1" s="1"/>
  <c r="AA83" i="1" s="1"/>
  <c r="BI83" i="1"/>
  <c r="BG121" i="1"/>
  <c r="BI121" i="1"/>
  <c r="BG199" i="1"/>
  <c r="Y199" i="1" s="1"/>
  <c r="Z199" i="1" s="1"/>
  <c r="AA199" i="1" s="1"/>
  <c r="BI199" i="1"/>
  <c r="BG165" i="1"/>
  <c r="Y165" i="1" s="1"/>
  <c r="Z165" i="1" s="1"/>
  <c r="AA165" i="1" s="1"/>
  <c r="BI165" i="1"/>
  <c r="BG200" i="1"/>
  <c r="Y200" i="1" s="1"/>
  <c r="Z200" i="1" s="1"/>
  <c r="AA200" i="1" s="1"/>
  <c r="BI200" i="1"/>
  <c r="AX35" i="1"/>
  <c r="AY35" i="1" s="1"/>
  <c r="BA35" i="1" s="1"/>
  <c r="Y25" i="1"/>
  <c r="BG23" i="1"/>
  <c r="Y23" i="1" s="1"/>
  <c r="Y39" i="1"/>
  <c r="X40" i="1"/>
  <c r="X48" i="1"/>
  <c r="X42" i="1"/>
  <c r="AR30" i="1"/>
  <c r="X30" i="1" s="1"/>
  <c r="X44" i="1"/>
  <c r="L59" i="2"/>
  <c r="L60" i="2"/>
  <c r="L153" i="2"/>
  <c r="L154" i="2"/>
  <c r="L148" i="2"/>
  <c r="L46" i="2"/>
  <c r="BF36" i="1"/>
  <c r="AX36" i="1"/>
  <c r="AY36" i="1" s="1"/>
  <c r="BA36" i="1" s="1"/>
  <c r="BH36" i="1"/>
  <c r="AR43" i="1"/>
  <c r="AT43" i="1"/>
  <c r="AR35" i="1"/>
  <c r="AT35" i="1"/>
  <c r="L41" i="2"/>
  <c r="L42" i="2"/>
  <c r="L14" i="2"/>
  <c r="L94" i="2"/>
  <c r="L130" i="2"/>
  <c r="L138" i="2"/>
  <c r="L71" i="2"/>
  <c r="L72" i="2"/>
  <c r="L75" i="2"/>
  <c r="BF38" i="1"/>
  <c r="AX38" i="1"/>
  <c r="AY38" i="1" s="1"/>
  <c r="BA38" i="1" s="1"/>
  <c r="BH38" i="1"/>
  <c r="L47" i="2"/>
  <c r="AR37" i="1"/>
  <c r="AT37" i="1"/>
  <c r="AT36" i="1"/>
  <c r="AR36" i="1"/>
  <c r="BI32" i="1"/>
  <c r="BG32" i="1"/>
  <c r="K102" i="2"/>
  <c r="L101" i="2" s="1"/>
  <c r="L68" i="2"/>
  <c r="L56" i="2"/>
  <c r="L57" i="2"/>
  <c r="AR41" i="1"/>
  <c r="AT41" i="1"/>
  <c r="AT23" i="1"/>
  <c r="AR23" i="1"/>
  <c r="L86" i="2"/>
  <c r="L135" i="2"/>
  <c r="L136" i="2"/>
  <c r="L79" i="2"/>
  <c r="L69" i="2"/>
  <c r="L108" i="2"/>
  <c r="AR51" i="1"/>
  <c r="AT51" i="1"/>
  <c r="L3" i="2"/>
  <c r="L103" i="2"/>
  <c r="AR26" i="1"/>
  <c r="AT26" i="1"/>
  <c r="X34" i="1"/>
  <c r="BG22" i="1"/>
  <c r="BI22" i="1"/>
  <c r="Y22" i="1" s="1"/>
  <c r="K5" i="2"/>
  <c r="L4" i="2" s="1"/>
  <c r="BI37" i="1"/>
  <c r="BG37" i="1"/>
  <c r="Y29" i="1"/>
  <c r="K175" i="2"/>
  <c r="L174" i="2" s="1"/>
  <c r="L116" i="2"/>
  <c r="L123" i="2"/>
  <c r="L100" i="2"/>
  <c r="AR33" i="1"/>
  <c r="AT33" i="1"/>
  <c r="BI34" i="1"/>
  <c r="BG34" i="1"/>
  <c r="AR47" i="1"/>
  <c r="AT47" i="1"/>
  <c r="L37" i="2"/>
  <c r="AT50" i="1"/>
  <c r="AR50" i="1"/>
  <c r="X50" i="1" s="1"/>
  <c r="AR31" i="1"/>
  <c r="AT31" i="1"/>
  <c r="L44" i="2"/>
  <c r="AR45" i="1"/>
  <c r="AT45" i="1"/>
  <c r="Y33" i="1"/>
  <c r="X28" i="1"/>
  <c r="L102" i="2"/>
  <c r="L126" i="2"/>
  <c r="L62" i="2"/>
  <c r="L165" i="2"/>
  <c r="L152" i="2"/>
  <c r="L119" i="2"/>
  <c r="L127" i="2"/>
  <c r="L128" i="2"/>
  <c r="K62" i="2"/>
  <c r="L61" i="2" s="1"/>
  <c r="L92" i="2"/>
  <c r="BI28" i="1"/>
  <c r="BG28" i="1"/>
  <c r="Y28" i="1" s="1"/>
  <c r="AR49" i="1"/>
  <c r="AT49" i="1"/>
  <c r="K12" i="2"/>
  <c r="L11" i="2" s="1"/>
  <c r="L34" i="2"/>
  <c r="K28" i="2"/>
  <c r="L27" i="2" s="1"/>
  <c r="AT32" i="1"/>
  <c r="AR32" i="1"/>
  <c r="BI26" i="1"/>
  <c r="BG26" i="1"/>
  <c r="BI31" i="1"/>
  <c r="BG31" i="1"/>
  <c r="X27" i="1"/>
  <c r="BI35" i="1"/>
  <c r="BG35" i="1"/>
  <c r="L168" i="2"/>
  <c r="L63" i="2"/>
  <c r="L64" i="2"/>
  <c r="L5" i="2"/>
  <c r="AR39" i="1"/>
  <c r="AT39" i="1"/>
  <c r="K159" i="2"/>
  <c r="L158" i="2" s="1"/>
  <c r="L151" i="2"/>
  <c r="L52" i="2"/>
  <c r="L143" i="2"/>
  <c r="L144" i="2"/>
  <c r="L117" i="2"/>
  <c r="L131" i="2"/>
  <c r="L139" i="2"/>
  <c r="L95" i="2"/>
  <c r="K20" i="2"/>
  <c r="L19" i="2" s="1"/>
  <c r="L22" i="2"/>
  <c r="L30" i="2"/>
  <c r="AT46" i="1"/>
  <c r="AR46" i="1"/>
  <c r="BG24" i="1"/>
  <c r="BI24" i="1"/>
  <c r="AT22" i="1"/>
  <c r="AR22" i="1"/>
  <c r="K161" i="2"/>
  <c r="K176" i="2"/>
  <c r="L110" i="2"/>
  <c r="L111" i="2"/>
  <c r="K177" i="2"/>
  <c r="L176" i="2" s="1"/>
  <c r="L149" i="2"/>
  <c r="L74" i="2"/>
  <c r="L140" i="2"/>
  <c r="L84" i="2"/>
  <c r="L133" i="2"/>
  <c r="K142" i="2"/>
  <c r="AR29" i="1"/>
  <c r="AT29" i="1"/>
  <c r="BI30" i="1"/>
  <c r="BG30" i="1"/>
  <c r="K21" i="2"/>
  <c r="L20" i="2" s="1"/>
  <c r="L9" i="2"/>
  <c r="L18" i="2"/>
  <c r="L112" i="2"/>
  <c r="AT38" i="1"/>
  <c r="AR38" i="1"/>
  <c r="L6" i="2"/>
  <c r="AT25" i="1"/>
  <c r="AR25" i="1"/>
  <c r="BI27" i="1"/>
  <c r="BG27" i="1"/>
  <c r="AT24" i="1"/>
  <c r="AR24" i="1"/>
  <c r="X24" i="1" s="1"/>
  <c r="Y194" i="1" l="1"/>
  <c r="Z194" i="1" s="1"/>
  <c r="AA194" i="1" s="1"/>
  <c r="Y92" i="1"/>
  <c r="Z92" i="1" s="1"/>
  <c r="AA92" i="1" s="1"/>
  <c r="Y122" i="1"/>
  <c r="Z122" i="1" s="1"/>
  <c r="AA122" i="1" s="1"/>
  <c r="Y102" i="1"/>
  <c r="Z102" i="1" s="1"/>
  <c r="AA102" i="1" s="1"/>
  <c r="Y100" i="1"/>
  <c r="Z100" i="1" s="1"/>
  <c r="AA100" i="1" s="1"/>
  <c r="Y71" i="1"/>
  <c r="Z71" i="1" s="1"/>
  <c r="AA71" i="1" s="1"/>
  <c r="Y32" i="1"/>
  <c r="Y34" i="1"/>
  <c r="Y31" i="1"/>
  <c r="X43" i="1"/>
  <c r="X38" i="1"/>
  <c r="X31" i="1"/>
  <c r="X33" i="1"/>
  <c r="Z33" i="1" s="1"/>
  <c r="X32" i="1"/>
  <c r="Z32" i="1" s="1"/>
  <c r="Y26" i="1"/>
  <c r="Y24" i="1"/>
  <c r="Y27" i="1"/>
  <c r="Z27" i="1" s="1"/>
  <c r="Y37" i="1"/>
  <c r="Y30" i="1"/>
  <c r="Z30" i="1" s="1"/>
  <c r="Y35" i="1"/>
  <c r="X46" i="1"/>
  <c r="X22" i="1"/>
  <c r="Z22" i="1" s="1"/>
  <c r="X47" i="1"/>
  <c r="X37" i="1"/>
  <c r="X35" i="1"/>
  <c r="X41" i="1"/>
  <c r="X36" i="1"/>
  <c r="X39" i="1"/>
  <c r="Z39" i="1" s="1"/>
  <c r="AA39" i="1" s="1"/>
  <c r="X29" i="1"/>
  <c r="Z29" i="1" s="1"/>
  <c r="X49" i="1"/>
  <c r="X51" i="1"/>
  <c r="X45" i="1"/>
  <c r="X23" i="1"/>
  <c r="Z23" i="1" s="1"/>
  <c r="X25" i="1"/>
  <c r="Z25" i="1" s="1"/>
  <c r="X26" i="1"/>
  <c r="BI36" i="1"/>
  <c r="BG36" i="1"/>
  <c r="Z24" i="1"/>
  <c r="BG38" i="1"/>
  <c r="BI38" i="1"/>
  <c r="L21" i="2"/>
  <c r="L141" i="2"/>
  <c r="L142" i="2"/>
  <c r="L159" i="2"/>
  <c r="L175" i="2"/>
  <c r="Z28" i="1"/>
  <c r="L28" i="2"/>
  <c r="L160" i="2"/>
  <c r="L161" i="2"/>
  <c r="L12" i="2"/>
  <c r="Z34" i="1"/>
  <c r="Z31" i="1" l="1"/>
  <c r="Y36" i="1"/>
  <c r="Z36" i="1" s="1"/>
  <c r="Z26" i="1"/>
  <c r="AV45" i="1" s="1"/>
  <c r="AZ45" i="1" s="1"/>
  <c r="Z37" i="1"/>
  <c r="AA37" i="1" s="1"/>
  <c r="Z35" i="1"/>
  <c r="Y38" i="1"/>
  <c r="Z38" i="1" s="1"/>
  <c r="AA38" i="1" s="1"/>
  <c r="AV42" i="1"/>
  <c r="AZ42" i="1" s="1"/>
  <c r="AV46" i="1"/>
  <c r="AZ46" i="1" s="1"/>
  <c r="AV43" i="1"/>
  <c r="AZ43" i="1" s="1"/>
  <c r="AV48" i="1"/>
  <c r="AZ48" i="1" s="1"/>
  <c r="AV41" i="1"/>
  <c r="AZ41" i="1" s="1"/>
  <c r="AV40" i="1"/>
  <c r="AZ40" i="1" s="1"/>
  <c r="AV50" i="1"/>
  <c r="AZ50" i="1" s="1"/>
  <c r="AV47" i="1" l="1"/>
  <c r="AZ47" i="1" s="1"/>
  <c r="BH47" i="1" s="1"/>
  <c r="AV44" i="1"/>
  <c r="AZ44" i="1" s="1"/>
  <c r="BF44" i="1" s="1"/>
  <c r="AV49" i="1"/>
  <c r="AZ49" i="1" s="1"/>
  <c r="BH49" i="1" s="1"/>
  <c r="AV51" i="1"/>
  <c r="AZ51" i="1" s="1"/>
  <c r="BF51" i="1" s="1"/>
  <c r="BF50" i="1"/>
  <c r="AX50" i="1"/>
  <c r="AY50" i="1" s="1"/>
  <c r="BA50" i="1" s="1"/>
  <c r="BH50" i="1"/>
  <c r="BH43" i="1"/>
  <c r="AX43" i="1"/>
  <c r="AY43" i="1" s="1"/>
  <c r="BA43" i="1" s="1"/>
  <c r="BF43" i="1"/>
  <c r="BH45" i="1"/>
  <c r="BF45" i="1"/>
  <c r="AX45" i="1"/>
  <c r="AY45" i="1" s="1"/>
  <c r="BA45" i="1" s="1"/>
  <c r="BF42" i="1"/>
  <c r="AX42" i="1"/>
  <c r="AY42" i="1" s="1"/>
  <c r="BA42" i="1" s="1"/>
  <c r="BH42" i="1"/>
  <c r="BF40" i="1"/>
  <c r="AX40" i="1"/>
  <c r="AY40" i="1" s="1"/>
  <c r="BA40" i="1" s="1"/>
  <c r="BH40" i="1"/>
  <c r="BH41" i="1"/>
  <c r="AX41" i="1"/>
  <c r="AY41" i="1" s="1"/>
  <c r="BA41" i="1" s="1"/>
  <c r="BF41" i="1"/>
  <c r="BF46" i="1"/>
  <c r="AX46" i="1"/>
  <c r="AY46" i="1" s="1"/>
  <c r="BA46" i="1" s="1"/>
  <c r="BH46" i="1"/>
  <c r="BF48" i="1"/>
  <c r="AX48" i="1"/>
  <c r="AY48" i="1" s="1"/>
  <c r="BA48" i="1" s="1"/>
  <c r="BH48" i="1"/>
  <c r="AX47" i="1" l="1"/>
  <c r="AY47" i="1" s="1"/>
  <c r="BA47" i="1" s="1"/>
  <c r="BI47" i="1" s="1"/>
  <c r="BF49" i="1"/>
  <c r="AX44" i="1"/>
  <c r="AY44" i="1" s="1"/>
  <c r="BA44" i="1" s="1"/>
  <c r="BH44" i="1"/>
  <c r="BF47" i="1"/>
  <c r="AX49" i="1"/>
  <c r="AY49" i="1" s="1"/>
  <c r="BA49" i="1" s="1"/>
  <c r="BI49" i="1" s="1"/>
  <c r="AX51" i="1"/>
  <c r="AY51" i="1" s="1"/>
  <c r="BA51" i="1" s="1"/>
  <c r="BI51" i="1" s="1"/>
  <c r="BH51" i="1"/>
  <c r="BG47" i="1"/>
  <c r="BI46" i="1"/>
  <c r="BG46" i="1"/>
  <c r="BI45" i="1"/>
  <c r="BG45" i="1"/>
  <c r="BI40" i="1"/>
  <c r="BG40" i="1"/>
  <c r="BI43" i="1"/>
  <c r="BG43" i="1"/>
  <c r="BI48" i="1"/>
  <c r="BG48" i="1"/>
  <c r="BG50" i="1"/>
  <c r="BI50" i="1"/>
  <c r="BI41" i="1"/>
  <c r="BG41" i="1"/>
  <c r="BI42" i="1"/>
  <c r="BG42" i="1"/>
  <c r="BG51" i="1" l="1"/>
  <c r="Y51" i="1" s="1"/>
  <c r="Z51" i="1" s="1"/>
  <c r="AA51" i="1" s="1"/>
  <c r="Y41" i="1"/>
  <c r="Z41" i="1" s="1"/>
  <c r="AA41" i="1" s="1"/>
  <c r="Y47" i="1"/>
  <c r="Z47" i="1" s="1"/>
  <c r="AA47" i="1" s="1"/>
  <c r="BI44" i="1"/>
  <c r="BG44" i="1"/>
  <c r="Y44" i="1" s="1"/>
  <c r="Z44" i="1" s="1"/>
  <c r="AA44" i="1" s="1"/>
  <c r="BG49" i="1"/>
  <c r="Y49" i="1" s="1"/>
  <c r="Z49" i="1" s="1"/>
  <c r="AA49" i="1" s="1"/>
  <c r="Y40" i="1"/>
  <c r="Z40" i="1" s="1"/>
  <c r="AA40" i="1" s="1"/>
  <c r="Y45" i="1"/>
  <c r="Z45" i="1" s="1"/>
  <c r="AA45" i="1" s="1"/>
  <c r="Y43" i="1"/>
  <c r="Z43" i="1" s="1"/>
  <c r="AA43" i="1" s="1"/>
  <c r="Y46" i="1"/>
  <c r="Z46" i="1" s="1"/>
  <c r="AA46" i="1" s="1"/>
  <c r="Y42" i="1"/>
  <c r="Z42" i="1" s="1"/>
  <c r="AA42" i="1" s="1"/>
  <c r="Y48" i="1"/>
  <c r="Z48" i="1" s="1"/>
  <c r="AA48" i="1" s="1"/>
  <c r="Y50" i="1"/>
  <c r="Z50" i="1" s="1"/>
  <c r="AA50" i="1" s="1"/>
</calcChain>
</file>

<file path=xl/sharedStrings.xml><?xml version="1.0" encoding="utf-8"?>
<sst xmlns="http://schemas.openxmlformats.org/spreadsheetml/2006/main" count="277" uniqueCount="239">
  <si>
    <t>MTK face AE calculator</t>
  </si>
  <si>
    <t>Face Link Target (Normal light)</t>
  </si>
  <si>
    <t>Face Link Target (Low light)</t>
  </si>
  <si>
    <t>BV</t>
  </si>
  <si>
    <t>DR</t>
  </si>
  <si>
    <t>index</t>
  </si>
  <si>
    <t>BV \ DR</t>
  </si>
  <si>
    <t>crtl + o: zero</t>
  </si>
  <si>
    <t>type</t>
  </si>
  <si>
    <t>stable</t>
  </si>
  <si>
    <t>cwv</t>
  </si>
  <si>
    <t>cwr</t>
  </si>
  <si>
    <t>prob</t>
  </si>
  <si>
    <t>x</t>
  </si>
  <si>
    <t>bv</t>
  </si>
  <si>
    <t>flt</t>
  </si>
  <si>
    <t>8bit</t>
  </si>
  <si>
    <t>Ratio</t>
  </si>
  <si>
    <t>Target_TH</t>
  </si>
  <si>
    <t>Day</t>
  </si>
  <si>
    <t>NS</t>
  </si>
  <si>
    <t>Total</t>
  </si>
  <si>
    <t>tag</t>
  </si>
  <si>
    <t>AE_TAG_FACE_20_FACE_AE_STABLE</t>
  </si>
  <si>
    <t>AE_TAG_FACE_20_FACE_AE_1STSTABLE</t>
  </si>
  <si>
    <t>AE_TAG_CWV</t>
  </si>
  <si>
    <t>AE_TAG_PURE_AE_CWR_STABLE</t>
  </si>
  <si>
    <t>AE_TAG_LINK_AE_CWR_STABLE</t>
  </si>
  <si>
    <t>AE_TAG_NS_PROB</t>
  </si>
  <si>
    <t>AE_TAG_LINK_FACE_CWR_STABLE</t>
  </si>
  <si>
    <t>Face_Link / AE_CWR</t>
  </si>
  <si>
    <t>AE_TAG_LINK_FACE_CWR_MIN</t>
  </si>
  <si>
    <t>AE_TAG_REALBVX1000</t>
  </si>
  <si>
    <t>AE_TAG_FLT_DR</t>
  </si>
  <si>
    <t>AE_TAG_FLT_TARGET</t>
  </si>
  <si>
    <t>jpg_FD_MTK</t>
  </si>
  <si>
    <t>jpg_FD_TarPhone</t>
  </si>
  <si>
    <t>No.</t>
  </si>
  <si>
    <t>Pic</t>
  </si>
  <si>
    <t>Crop</t>
  </si>
  <si>
    <t>ref.Crop</t>
  </si>
  <si>
    <t>FDStable</t>
  </si>
  <si>
    <t>1stFDStable</t>
  </si>
  <si>
    <t>CWV</t>
  </si>
  <si>
    <t>Normal_CWR</t>
  </si>
  <si>
    <t>AE_CWR</t>
  </si>
  <si>
    <t>NS_Prob</t>
  </si>
  <si>
    <t>Face_Link</t>
  </si>
  <si>
    <t>Gain</t>
  </si>
  <si>
    <t>fdMinCWR</t>
  </si>
  <si>
    <t>TH</t>
  </si>
  <si>
    <t>exp. time</t>
  </si>
  <si>
    <t>sensor gain</t>
  </si>
  <si>
    <t>ISP gain</t>
  </si>
  <si>
    <t>gain</t>
  </si>
  <si>
    <t>TV</t>
  </si>
  <si>
    <t>lines</t>
  </si>
  <si>
    <t>AV</t>
  </si>
  <si>
    <t>SV</t>
  </si>
  <si>
    <t>BV'</t>
  </si>
  <si>
    <t xml:space="preserve">    {32,1280,1049, 0, 0, 0},  //TV = 14.93(3 lines)  AV=1.70  SV=5.36  BV=11.27</t>
  </si>
  <si>
    <t xml:space="preserve">    {42,1024,1024, 0, 0, 0},  /* TV = 14.54(4 lines)  AV=1.70  SV=5.00  BV=11.24 */</t>
  </si>
  <si>
    <t xml:space="preserve">    {42,1024,1096, 0, 0, 0},  //TV = 14.54(4 lines)  AV=1.70  SV=5.10  BV=11.14</t>
  </si>
  <si>
    <t xml:space="preserve">    {42,1152,1038, 0, 0, 0},  //TV = 14.54(4 lines)  AV=1.70  SV=5.19  BV=11.05</t>
  </si>
  <si>
    <t xml:space="preserve">    {42,1152,1123, 0, 0, 0},  //TV = 14.54(4 lines)  AV=1.70  SV=5.30  BV=10.93</t>
  </si>
  <si>
    <t xml:space="preserve">    {53,1024,1064, 0, 0, 0},  //TV = 14.20(5 lines)  AV=1.70  SV=5.06  BV=10.84</t>
  </si>
  <si>
    <t xml:space="preserve">    {53,1024,1136, 0, 0, 0},  //TV = 14.20(5 lines)  AV=1.70  SV=5.15  BV=10.75</t>
  </si>
  <si>
    <t xml:space="preserve">    {63,1024,1056, 0, 0, 0},  /* TV = 13.95(6 lines)  AV=1.70  SV=5.04  BV=10.61 */</t>
  </si>
  <si>
    <t xml:space="preserve">    {63,1024,1120, 0, 0, 0},  //TV = 13.95(6 lines)  AV=1.70  SV=5.13  BV=10.52</t>
  </si>
  <si>
    <t xml:space="preserve">    {73,1024,1024, 0, 0, 0},  //TV = 13.74(7 lines)  AV=1.70  SV=5.00  BV=10.44</t>
  </si>
  <si>
    <t xml:space="preserve">    {73,1024,1112, 0, 0, 0},  //TV = 13.74(7 lines)  AV=1.70  SV=5.12  BV=10.32</t>
  </si>
  <si>
    <t xml:space="preserve">    {73,1152,1038, 0, 0, 0},  //TV = 13.74(7 lines)  AV=1.70  SV=5.19  BV=10.25</t>
  </si>
  <si>
    <t xml:space="preserve">    {84,1024,1096, 0, 0, 0},  //TV = 13.54(8 lines)  AV=1.70  SV=5.10  BV=10.14</t>
  </si>
  <si>
    <t xml:space="preserve">    {94,1024,1048, 0, 0, 0},  //TV = 13.38(9 lines)  AV=1.70  SV=5.03  BV=10.04</t>
  </si>
  <si>
    <t xml:space="preserve">    {105,1024,1024, 0, 0, 0},  //TV = 13.22(10 lines)  AV=1.70  SV=5.00  BV=9.91</t>
  </si>
  <si>
    <t xml:space="preserve">    {105,1024,1080, 0, 0, 0},  //TV = 13.22(10 lines)  AV=1.70  SV=5.08  BV=9.84</t>
  </si>
  <si>
    <t xml:space="preserve">    {115,1024,1048, 0, 0, 0},  //TV = 13.09(11 lines)  AV=1.70  SV=5.03  BV=9.75</t>
  </si>
  <si>
    <t xml:space="preserve">    {126,1024,1056, 0, 0, 0},  /* TV = 12.95(12 lines)  AV=1.70  SV=5.04  BV=9.61 */</t>
  </si>
  <si>
    <t xml:space="preserve">    {136,1024,1040, 0, 0, 0},  //TV = 12.84(13 lines)  AV=1.70  SV=5.02  BV=9.52</t>
  </si>
  <si>
    <t xml:space="preserve">    {146,1024,1032, 0, 0, 0},  //TV = 12.74(14 lines)  AV=1.70  SV=5.01  BV=9.43</t>
  </si>
  <si>
    <t xml:space="preserve">    {157,1024,1040, 0, 0, 0},  //TV = 12.64(15 lines)  AV=1.70  SV=5.02  BV=9.31</t>
  </si>
  <si>
    <t xml:space="preserve">    {167,1024,1048, 0, 0, 0},  //TV = 12.55(16 lines)  AV=1.70  SV=5.03  BV=9.21</t>
  </si>
  <si>
    <t xml:space="preserve">    {178,1024,1064, 0, 0, 0},  //TV = 12.46(17 lines)  AV=1.70  SV=5.06  BV=9.10</t>
  </si>
  <si>
    <t xml:space="preserve">    {188,1024,1048, 0, 0, 0},  /* TV = 12.38(18 lines)  AV=1.70  SV=5.03  BV=9.04 */</t>
  </si>
  <si>
    <t xml:space="preserve">    {199,1024,1056, 0, 0, 0},  //TV = 12.29(19 lines)  AV=1.70  SV=5.04  BV=8.95</t>
  </si>
  <si>
    <t xml:space="preserve">    {219,1024,1032, 0, 0, 0},  //TV = 12.16(21 lines)  AV=1.70  SV=5.01  BV=8.84</t>
  </si>
  <si>
    <t xml:space="preserve">    {230,1024,1048, 0, 0, 0},  //TV = 12.09(22 lines)  AV=1.70  SV=5.03  BV=8.75</t>
  </si>
  <si>
    <t xml:space="preserve">    {251,1024,1032, 0, 0, 0},  //TV = 11.96(24 lines)  AV=1.70  SV=5.01  BV=8.64</t>
  </si>
  <si>
    <t xml:space="preserve">    {271,1024,1024, 0, 0, 0},  //TV = 11.85(26 lines)  AV=1.70  SV=5.00  BV=8.55</t>
  </si>
  <si>
    <t xml:space="preserve">    {282,1024,1056, 0, 0, 0},  //TV = 11.79(27 lines)  AV=1.70  SV=5.04  BV=8.44</t>
  </si>
  <si>
    <t xml:space="preserve">    {303,1024,1056, 0, 0, 0},  //TV = 11.69(29 lines)  AV=1.70  SV=5.04  BV=8.34</t>
  </si>
  <si>
    <t xml:space="preserve">    {334,1024,1024, 0, 0, 0},  //TV = 11.55(32 lines)  AV=1.70  SV=5.00  BV=8.24</t>
  </si>
  <si>
    <t xml:space="preserve">    {355,1024,1032, 0, 0, 0},  //TV = 11.46(34 lines)  AV=1.70  SV=5.01  BV=8.14</t>
  </si>
  <si>
    <t xml:space="preserve">    {376,1024,1048, 0, 0, 0},  //TV = 11.38(36 lines)  AV=1.70  SV=5.03  BV=8.04</t>
  </si>
  <si>
    <t xml:space="preserve">    {407,1024,1032, 0, 0, 0},  //TV = 11.26(39 lines)  AV=1.70  SV=5.01  BV=7.95</t>
  </si>
  <si>
    <t xml:space="preserve">    {438,1024,1032, 0, 0, 0},  //TV = 11.16(42 lines)  AV=1.70  SV=5.01  BV=7.84</t>
  </si>
  <si>
    <t xml:space="preserve">    {470,1024,1032, 0, 0, 0},  //TV = 11.06(45 lines)  AV=1.70  SV=5.01  BV=7.74</t>
  </si>
  <si>
    <t xml:space="preserve">    {501,1024,1032, 0, 0, 0},  //TV = 10.96(48 lines)  AV=1.70  SV=5.01  BV=7.65</t>
  </si>
  <si>
    <t xml:space="preserve">    {532,1024,1040, 0, 0, 0},  //TV = 10.88(51 lines)  AV=1.70  SV=5.02  BV=7.55</t>
  </si>
  <si>
    <t xml:space="preserve">    {584,1024,1024, 0, 0, 0},  //TV = 10.74(56 lines)  AV=1.70  SV=5.00  BV=7.44</t>
  </si>
  <si>
    <t xml:space="preserve">    {615,1024,1040, 0, 0, 0},  //TV = 10.67(59 lines)  AV=1.70  SV=5.02  BV=7.34</t>
  </si>
  <si>
    <t xml:space="preserve">    {668,1024,1024, 0, 0, 0},  //TV = 10.55(64 lines)  AV=1.70  SV=5.00  BV=7.24</t>
  </si>
  <si>
    <t xml:space="preserve">    {709,1024,1032, 0, 0, 0},  //TV = 10.46(68 lines)  AV=1.70  SV=5.01  BV=7.15</t>
  </si>
  <si>
    <t xml:space="preserve">    {761,1024,1032, 0, 0, 0},  //TV = 10.36(73 lines)  AV=1.70  SV=5.01  BV=7.04</t>
  </si>
  <si>
    <t xml:space="preserve">    {813,1024,1032, 0, 0, 0},  //TV = 10.26(78 lines)  AV=1.70  SV=5.01  BV=6.95</t>
  </si>
  <si>
    <t xml:space="preserve">    {876,1024,1032, 0, 0, 0},  //TV = 10.16(84 lines)  AV=1.70  SV=5.01  BV=6.84</t>
  </si>
  <si>
    <t xml:space="preserve">    {939,1024,1032, 0, 0, 0},  //TV = 10.06(90 lines)  AV=1.70  SV=5.01  BV=6.74</t>
  </si>
  <si>
    <t xml:space="preserve">    {1001,1024,1032, 0, 0, 0},  //TV = 9.96(96 lines)  AV=1.70  SV=5.01  BV=6.65</t>
  </si>
  <si>
    <t xml:space="preserve">    {1074,1024,1032, 0, 0, 0},  //TV = 9.86(103 lines)  AV=1.70  SV=5.01  BV=6.55</t>
  </si>
  <si>
    <t xml:space="preserve">    {1157,1024,1032, 0, 0, 0},  //TV = 9.76(111 lines)  AV=1.70  SV=5.01  BV=6.44</t>
  </si>
  <si>
    <t xml:space="preserve">    {1251,1024,1024, 0, 0, 0},  //TV = 9.64(120 lines)  AV=1.70  SV=5.00  BV=6.34</t>
  </si>
  <si>
    <t xml:space="preserve">    {1335,1024,1024, 0, 0, 0},  //TV = 9.55(128 lines)  AV=1.70  SV=5.00  BV=6.24</t>
  </si>
  <si>
    <t xml:space="preserve">    {1418,1024,1032, 0, 0, 0},  //TV = 9.46(136 lines)  AV=1.70  SV=5.01  BV=6.15</t>
  </si>
  <si>
    <t xml:space="preserve">    {1533,1024,1024, 0, 0, 0},  //TV = 9.35(147 lines)  AV=1.70  SV=5.00  BV=6.05</t>
  </si>
  <si>
    <t xml:space="preserve">    {1647,1024,1024, 0, 0, 0},  //TV = 9.25(158 lines)  AV=1.70  SV=5.00  BV=5.94</t>
  </si>
  <si>
    <t xml:space="preserve">    {1762,1024,1024, 0, 0, 0},  //TV = 9.15(169 lines)  AV=1.70  SV=5.00  BV=5.84</t>
  </si>
  <si>
    <t xml:space="preserve">    {1897,1024,1024, 0, 0, 0},  //TV = 9.04(182 lines)  AV=1.70  SV=5.00  BV=5.74</t>
  </si>
  <si>
    <t xml:space="preserve">    {2023,1024,1024, 0, 0, 0},  //TV = 8.95(194 lines)  AV=1.70  SV=5.00  BV=5.65</t>
  </si>
  <si>
    <t xml:space="preserve">    {2168,1024,1024, 0, 0, 0},  //TV = 8.85(208 lines)  AV=1.70  SV=5.00  BV=5.55</t>
  </si>
  <si>
    <t xml:space="preserve">    {2335,1024,1024, 0, 0, 0},  //TV = 8.74(224 lines)  AV=1.70  SV=5.00  BV=5.44</t>
  </si>
  <si>
    <t xml:space="preserve">    {2492,1024,1024, 0, 0, 0},  //TV = 8.65(239 lines)  AV=1.70  SV=5.00  BV=5.34</t>
  </si>
  <si>
    <t xml:space="preserve">    {2669,1024,1024, 0, 0, 0},  //TV = 8.55(256 lines)  AV=1.70  SV=5.00  BV=5.25</t>
  </si>
  <si>
    <t xml:space="preserve">    {2856,1024,1024, 0, 0, 0},  //TV = 8.45(274 lines)  AV=1.70  SV=5.00  BV=5.15</t>
  </si>
  <si>
    <t xml:space="preserve">    {3075,1024,1024, 0, 0, 0},  //TV = 8.35(295 lines)  AV=1.70  SV=5.00  BV=5.04</t>
  </si>
  <si>
    <t xml:space="preserve">    {3294,1024,1024, 0, 0, 0},  //TV = 8.25(316 lines)  AV=1.70  SV=5.00  BV=4.94</t>
  </si>
  <si>
    <t xml:space="preserve">    {3523,1024,1024, 0, 0, 0},  //TV = 8.15(338 lines)  AV=1.70  SV=5.00  BV=4.84</t>
  </si>
  <si>
    <t xml:space="preserve">    {3774,1024,1024, 0, 0, 0},  //TV = 8.05(362 lines)  AV=1.70  SV=5.00  BV=4.75</t>
  </si>
  <si>
    <t xml:space="preserve">    {4034,1024,1024, 0, 0, 0},  //TV = 7.95(387 lines)  AV=1.70  SV=5.00  BV=4.65</t>
  </si>
  <si>
    <t xml:space="preserve">    {4347,1024,1024, 0, 0, 0},  //TV = 7.85(417 lines)  AV=1.70  SV=5.00  BV=4.54</t>
  </si>
  <si>
    <t xml:space="preserve">    {4660,1024,1024, 0, 0, 0},  //TV = 7.75(447 lines)  AV=1.70  SV=5.00  BV=4.44</t>
  </si>
  <si>
    <t xml:space="preserve">    {4983,1024,1024, 0, 0, 0},  //TV = 7.65(478 lines)  AV=1.70  SV=5.00  BV=4.34</t>
  </si>
  <si>
    <t xml:space="preserve">    {5337,1024,1024, 0, 0, 0},  //TV = 7.55(512 lines)  AV=1.70  SV=5.00  BV=4.25</t>
  </si>
  <si>
    <t xml:space="preserve">    {5712,1024,1024, 0, 0, 0},  //TV = 7.45(548 lines)  AV=1.70  SV=5.00  BV=4.15</t>
  </si>
  <si>
    <t xml:space="preserve">    {6119,1024,1024, 0, 0, 0},  //TV = 7.35(587 lines)  AV=1.70  SV=5.00  BV=4.05</t>
  </si>
  <si>
    <t xml:space="preserve">    {6557,1024,1024, 0, 0, 0},  //TV = 7.25(629 lines)  AV=1.70  SV=5.00  BV=3.95</t>
  </si>
  <si>
    <t xml:space="preserve">    {7026,1024,1024, 0, 0, 0},  //TV = 7.15(674 lines)  AV=1.70  SV=5.00  BV=3.85</t>
  </si>
  <si>
    <t xml:space="preserve">    {7526,1024,1024, 0, 0, 0},  //TV = 7.05(722 lines)  AV=1.70  SV=5.00  BV=3.75</t>
  </si>
  <si>
    <t xml:space="preserve">    {8110,1024,1024, 0, 0, 0},  //TV = 6.95(778 lines)  AV=1.70  SV=5.00  BV=3.64</t>
  </si>
  <si>
    <t xml:space="preserve">    {8328,1024,1064, 0, 0, 0},  //TV = 6.91(799 lines)  AV=1.70  SV=5.06  BV=3.55</t>
  </si>
  <si>
    <t xml:space="preserve">    {8328,1024,1144, 0, 0, 0},  //TV = 6.91(799 lines)  AV=1.70  SV=5.16  BV=3.44</t>
  </si>
  <si>
    <t xml:space="preserve">    {8328,1152,1088, 0, 0, 0},  //TV = 6.91(799 lines)  AV=1.70  SV=5.26  BV=3.35</t>
  </si>
  <si>
    <t xml:space="preserve">    {8328,1280,1049, 0, 0, 0},  //TV = 6.91(799 lines)  AV=1.70  SV=5.36  BV=3.25</t>
  </si>
  <si>
    <t xml:space="preserve">    {8328,1408,1029, 0, 0, 0},  //TV = 6.91(799 lines)  AV=1.70  SV=5.47  BV=3.14</t>
  </si>
  <si>
    <t xml:space="preserve">    {8328,1408,1093, 0, 0, 0},  //TV = 6.91(799 lines)  AV=1.70  SV=5.55  BV=3.05</t>
  </si>
  <si>
    <t xml:space="preserve">    {8328,1536,1077, 0, 0, 0},  //TV = 6.91(799 lines)  AV=1.70  SV=5.66  BV=2.95</t>
  </si>
  <si>
    <t xml:space="preserve">    {8328,1664,1063, 0, 0, 0},  //TV = 6.91(799 lines)  AV=1.70  SV=5.75  BV=2.85</t>
  </si>
  <si>
    <t xml:space="preserve">    {8328,1792,1060, 0, 0, 0},  //TV = 6.91(799 lines)  AV=1.70  SV=5.86  BV=2.75</t>
  </si>
  <si>
    <t xml:space="preserve">    {8328,1920,1058, 0, 0, 0},  //TV = 6.91(799 lines)  AV=1.70  SV=5.95  BV=2.65</t>
  </si>
  <si>
    <t xml:space="preserve">    {8328,2048,1064, 0, 0, 0},  //TV = 6.91(799 lines)  AV=1.70  SV=6.06  BV=2.55</t>
  </si>
  <si>
    <t xml:space="preserve">    {8328,2176,1072, 0, 0, 0},  //TV = 6.91(799 lines)  AV=1.70  SV=6.15  BV=2.45</t>
  </si>
  <si>
    <t xml:space="preserve">    {8328,2432,1030, 0, 0, 0},  //TV = 6.91(799 lines)  AV=1.70  SV=6.26  BV=2.35</t>
  </si>
  <si>
    <t xml:space="preserve">    {8328,2560,1056, 0, 0, 0},  //TV = 6.91(799 lines)  AV=1.70  SV=6.37  BV=2.24</t>
  </si>
  <si>
    <t xml:space="preserve">    {8328,2688,1069, 0, 0, 0},  //TV = 6.91(799 lines)  AV=1.70  SV=6.45  BV=2.15</t>
  </si>
  <si>
    <t xml:space="preserve">    {8328,2944,1046, 0, 0, 0},  //TV = 6.91(799 lines)  AV=1.70  SV=6.55  BV=2.05</t>
  </si>
  <si>
    <t xml:space="preserve">    {16667,1536,1082, 0, 0, 0},  //TV = 5.91(1599 lines)  AV=1.70  SV=5.66  BV=1.94</t>
  </si>
  <si>
    <t xml:space="preserve">    {16667,1664,1063, 0, 0, 0},  //TV = 5.91(1599 lines)  AV=1.70  SV=5.75  BV=1.85</t>
  </si>
  <si>
    <t xml:space="preserve">    {16667,1792,1065, 0, 0, 0},  //TV = 5.91(1599 lines)  AV=1.70  SV=5.86  BV=1.74</t>
  </si>
  <si>
    <t xml:space="preserve">    {16667,1920,1058, 0, 0, 0},  //TV = 5.91(1599 lines)  AV=1.70  SV=5.95  BV=1.65</t>
  </si>
  <si>
    <t xml:space="preserve">    {16667,2048,1064, 0, 0, 0},  //TV = 5.91(1599 lines)  AV=1.70  SV=6.06  BV=1.55</t>
  </si>
  <si>
    <t xml:space="preserve">    {16667,2176,1072, 0, 0, 0},  //TV = 5.91(1599 lines)  AV=1.70  SV=6.15  BV=1.45</t>
  </si>
  <si>
    <t xml:space="preserve">    {16667,2432,1034, 0, 0, 0},  //TV = 5.91(1599 lines)  AV=1.70  SV=6.26  BV=1.34</t>
  </si>
  <si>
    <t xml:space="preserve">    {16667,2560,1049, 0, 0, 0},  //TV = 5.91(1599 lines)  AV=1.70  SV=6.36  BV=1.25</t>
  </si>
  <si>
    <t xml:space="preserve">    {16667,2688,1069, 0, 0, 0},  //TV = 5.91(1599 lines)  AV=1.70  SV=6.45  BV=1.15</t>
  </si>
  <si>
    <t xml:space="preserve">    {16667,2944,1046, 0, 0, 0},  //TV = 5.91(1599 lines)  AV=1.70  SV=6.55  BV=1.05</t>
  </si>
  <si>
    <t xml:space="preserve">    {16667,3200,1036, 0, 0, 0},  //TV = 5.91(1599 lines)  AV=1.70  SV=6.66  BV=0.94</t>
  </si>
  <si>
    <t xml:space="preserve">    {16667,3456,1026, 0, 0, 0},  //TV = 5.91(1599 lines)  AV=1.70  SV=6.76  BV=0.85</t>
  </si>
  <si>
    <t xml:space="preserve">    {16667,3712,1024, 0, 0, 0},  //TV = 5.91(1599 lines)  AV=1.70  SV=6.86  BV=0.74</t>
  </si>
  <si>
    <t xml:space="preserve">    {16667,3968,1024, 0, 0, 0},  //TV = 5.91(1599 lines)  AV=1.70  SV=6.95  BV=0.65</t>
  </si>
  <si>
    <t xml:space="preserve">    {16667,4224,1035, 0, 0, 0},  //TV = 5.91(1599 lines)  AV=1.70  SV=7.06  BV=0.54</t>
  </si>
  <si>
    <t xml:space="preserve">    {16667,4480,1045, 0, 0, 0},  //TV = 5.91(1599 lines)  AV=1.70  SV=7.16  BV=0.44</t>
  </si>
  <si>
    <t xml:space="preserve">    {16667,4864,1032, 0, 0, 0},  //TV = 5.91(1599 lines)  AV=1.70  SV=7.26  BV=0.34</t>
  </si>
  <si>
    <t xml:space="preserve">    {24995,3456,1038, 0, 0, 0},  //TV = 5.32(2398 lines)  AV=1.70  SV=6.77  BV=0.24</t>
  </si>
  <si>
    <t xml:space="preserve">    {24995,3712,1035, 0, 0, 0},  //TV = 5.32(2398 lines)  AV=1.70  SV=6.87  BV=0.14</t>
  </si>
  <si>
    <t xml:space="preserve">    {24995,3968,1038, 0, 0, 0},  //TV = 5.32(2398 lines)  AV=1.70  SV=6.97  BV=0.04</t>
  </si>
  <si>
    <t xml:space="preserve">    {24995,4224,1043, 0, 0, 0},  //TV = 5.32(2398 lines)  AV=1.70  SV=7.07  BV=-0.05</t>
  </si>
  <si>
    <t xml:space="preserve">    {24995,4608,1025, 0, 0, 0},  //TV = 5.32(2398 lines)  AV=1.70  SV=7.17  BV=-0.15</t>
  </si>
  <si>
    <t xml:space="preserve">    {33333,3712,1024, 0, 0, 0},  //TV = 4.91(3198 lines)  AV=1.70  SV=6.86  BV=-0.26</t>
  </si>
  <si>
    <t xml:space="preserve">    {33333,3968,1026, 0, 0, 0},  //TV = 4.91(3198 lines)  AV=1.70  SV=6.96  BV=-0.35</t>
  </si>
  <si>
    <t xml:space="preserve">    {33333,4224,1033, 0, 0, 0},  //TV = 4.91(3198 lines)  AV=1.70  SV=7.06  BV=-0.45</t>
  </si>
  <si>
    <t xml:space="preserve">    {33333,4480,1044, 0, 0, 0},  //TV = 4.91(3198 lines)  AV=1.70  SV=7.16  BV=-0.55</t>
  </si>
  <si>
    <t xml:space="preserve">    {33333,4864,1029, 0, 0, 0},  //TV = 4.91(3198 lines)  AV=1.70  SV=7.25  BV=-0.65</t>
  </si>
  <si>
    <t xml:space="preserve">    {33333,5120,1048, 0, 0, 0},  //TV = 4.91(3198 lines)  AV=1.70  SV=7.36  BV=-0.75</t>
  </si>
  <si>
    <t xml:space="preserve">    {33333,5504,1043, 0, 0, 0},  //TV = 4.91(3198 lines)  AV=1.70  SV=7.45  BV=-0.85</t>
  </si>
  <si>
    <t xml:space="preserve">    {33333,6016,1029, 0, 0, 0},  //TV = 4.91(3198 lines)  AV=1.70  SV=7.56  BV=-0.96</t>
  </si>
  <si>
    <t xml:space="preserve">    {33333,6400,1035, 0, 0, 0},  //TV = 4.91(3198 lines)  AV=1.70  SV=7.66  BV=-1.06</t>
  </si>
  <si>
    <t xml:space="preserve">    {33333,6912,1027, 0, 0, 0},  //TV = 4.91(3198 lines)  AV=1.70  SV=7.76  BV=-1.16</t>
  </si>
  <si>
    <t xml:space="preserve">    {33333,7424,1024, 0, 0, 0},  //TV = 4.91(3198 lines)  AV=1.70  SV=7.86  BV=-1.26</t>
  </si>
  <si>
    <t xml:space="preserve">    {33333,7936,1026, 0, 0, 0},  //TV = 4.91(3198 lines)  AV=1.70  SV=7.96  BV=-1.35</t>
  </si>
  <si>
    <t xml:space="preserve">    {33333,8448,1032, 0, 0, 0},  //TV = 4.91(3198 lines)  AV=1.70  SV=8.06  BV=-1.45</t>
  </si>
  <si>
    <t xml:space="preserve">    {33333,9088,1028, 0, 0, 0},  //TV = 4.91(3198 lines)  AV=1.70  SV=8.16  BV=-1.55</t>
  </si>
  <si>
    <t xml:space="preserve">    {33333,9728,1029, 0, 0, 0},  //TV = 4.91(3198 lines)  AV=1.70  SV=8.25  BV=-1.65</t>
  </si>
  <si>
    <t xml:space="preserve">    {33333,10368,1034, 0, 0, 0},  //TV = 4.91(3198 lines)  AV=1.70  SV=8.35  BV=-1.75</t>
  </si>
  <si>
    <t xml:space="preserve">    {33333,11136,1031, 0, 0, 0},  //TV = 4.91(3198 lines)  AV=1.70  SV=8.45  BV=-1.85</t>
  </si>
  <si>
    <t xml:space="preserve">    {33333,12032,1029, 0, 0, 0},  //TV = 4.91(3198 lines)  AV=1.70  SV=8.56  BV=-1.96</t>
  </si>
  <si>
    <t xml:space="preserve">    {33333,12800,1031, 0, 0, 0},  //TV = 4.91(3198 lines)  AV=1.70  SV=8.65  BV=-2.05</t>
  </si>
  <si>
    <t xml:space="preserve">    {33333,13824,1024, 0, 0, 0},  //TV = 4.91(3198 lines)  AV=1.70  SV=8.75  BV=-2.15</t>
  </si>
  <si>
    <t xml:space="preserve">    {41661,11776,1030, 0, 0, 0},  //TV = 4.59(3997 lines)  AV=1.70  SV=8.53  BV=-2.25</t>
  </si>
  <si>
    <t xml:space="preserve">    {41661,12672,1026, 0, 0, 0},  //TV = 4.59(3997 lines)  AV=1.70  SV=8.63  BV=-2.35</t>
  </si>
  <si>
    <t xml:space="preserve">    {50000,11264,1031, 0, 0, 0},  //TV = 4.32(4797 lines)  AV=1.70  SV=8.47  BV=-2.45</t>
  </si>
  <si>
    <t xml:space="preserve">    {50000,12032,1034, 0, 0, 0},  //TV = 4.32(4797 lines)  AV=1.70  SV=8.57  BV=-2.55</t>
  </si>
  <si>
    <t xml:space="preserve">    {50000,12928,1031, 0, 0, 0},  //TV = 4.32(4797 lines)  AV=1.70  SV=8.67  BV=-2.65</t>
  </si>
  <si>
    <t xml:space="preserve">    {58328,11904,1029, 0, 0, 0},  //TV = 4.10(5596 lines)  AV=1.70  SV=8.55  BV=-2.75</t>
  </si>
  <si>
    <t xml:space="preserve">    {58328,12800,1025, 0, 0, 0},  //TV = 4.10(5596 lines)  AV=1.70  SV=8.65  BV=-2.85</t>
  </si>
  <si>
    <t xml:space="preserve">    {66666,11904,1034, 0, 0, 0},  //TV = 3.91(6396 lines)  AV=1.70  SV=8.55  BV=-2.95</t>
  </si>
  <si>
    <t xml:space="preserve">    {66666,12800,1031, 0, 0, 0},  //TV = 3.91(6396 lines)  AV=1.70  SV=8.65  BV=-3.05</t>
  </si>
  <si>
    <t xml:space="preserve">    {66666,13696,1032, 0, 0, 0},  //TV = 3.91(6396 lines)  AV=1.70  SV=8.75  BV=-3.15</t>
  </si>
  <si>
    <t xml:space="preserve">    {66666,14720,1029, 0, 0, 0},  //TV = 3.91(6396 lines)  AV=1.70  SV=8.85  BV=-3.25</t>
  </si>
  <si>
    <t xml:space="preserve">    {66666,15744,1031, 0, 0, 0},  //TV = 3.91(6396 lines)  AV=1.70  SV=8.95  BV=-3.35</t>
  </si>
  <si>
    <t xml:space="preserve">    {66666,16384,1069, 0, 0, 0},  //TV = 3.91(6396 lines)  AV=1.70  SV=9.06  BV=-3.46</t>
  </si>
  <si>
    <t xml:space="preserve">    {66666,16384,1146, 0, 0, 0},  //TV = 3.91(6396 lines)  AV=1.70  SV=9.16  BV=-3.56</t>
  </si>
  <si>
    <t xml:space="preserve">    {66666,16384,1228, 0, 0, 0},  //TV = 3.91(6396 lines)  AV=1.70  SV=9.26  BV=-3.66</t>
  </si>
  <si>
    <t xml:space="preserve">    {66666,16384,1315, 0, 0, 0},  //TV = 3.91(6396 lines)  AV=1.70  SV=9.36  BV=-3.76</t>
  </si>
  <si>
    <t xml:space="preserve">    {66666,16384,1409, 0, 0, 0},  //TV = 3.91(6396 lines)  AV=1.70  SV=9.46  BV=-3.86</t>
  </si>
  <si>
    <t xml:space="preserve">    {66666,16384,1510, 0, 0, 0},  //TV = 3.91(6396 lines)  AV=1.70  SV=9.56  BV=-3.96</t>
  </si>
  <si>
    <t xml:space="preserve">    {66666,16384,1618, 0, 0, 0},  //TV = 3.91(6396 lines)  AV=1.70  SV=9.66  BV=-4.06</t>
  </si>
  <si>
    <t xml:space="preserve">    {66666,16384,1734, 0, 0, 0},  //TV = 3.91(6396 lines)  AV=1.70  SV=9.76  BV=-4.16</t>
  </si>
  <si>
    <t xml:space="preserve">    {66666,16384,1859, 0, 0, 0},  //TV = 3.91(6396 lines)  AV=1.70  SV=9.86  BV=-4.26</t>
  </si>
  <si>
    <t xml:space="preserve">    {66666,16384,1992, 0, 0, 0},  //TV = 3.91(6396 lines)  AV=1.70  SV=9.96  BV=-4.36</t>
  </si>
  <si>
    <t xml:space="preserve">    {66666,16384,2134, 0, 0, 0},  //TV = 3.91(6396 lines)  AV=1.70  SV=10.06  BV=-4.46</t>
  </si>
  <si>
    <t xml:space="preserve">    {66666,16384,2287, 0, 0, 0},  //TV = 3.91(6396 lines)  AV=1.70  SV=10.16  BV=-4.56</t>
  </si>
  <si>
    <t xml:space="preserve">    {66666,16384,2451, 0, 0, 0},  //TV = 3.91(6396 lines)  AV=1.70  SV=10.26  BV=-4.66</t>
  </si>
  <si>
    <t xml:space="preserve">    {66666,16384,2627, 0, 0, 0},  //TV = 3.91(6396 lines)  AV=1.70  SV=10.36  BV=-4.76</t>
  </si>
  <si>
    <t xml:space="preserve">    {66666,16384,2815, 0, 0, 0},  //TV = 3.91(6396 lines)  AV=1.70  SV=10.46  BV=-4.86</t>
  </si>
  <si>
    <t xml:space="preserve">    {66666,16384,3023, 0, 0, 0},  //TV = 3.91(6396 lines)  AV=1.70  SV=10.56  BV=-4.96</t>
  </si>
  <si>
    <t xml:space="preserve">    {74994,16384,2880, 0, 0, 0},  //TV = 3.74(7195 lines)  AV=1.70  SV=10.49  BV=-5.06</t>
  </si>
  <si>
    <t xml:space="preserve">    {83332,16384,2777, 0, 0, 0},  //TV = 3.58(7995 lines)  AV=1.70  SV=10.44  BV=-5.16</t>
  </si>
  <si>
    <t xml:space="preserve">    {83332,16384,2977, 0, 0, 0},  //TV = 3.58(7995 lines)  AV=1.70  SV=10.54  BV=-5.26</t>
  </si>
  <si>
    <t xml:space="preserve">    {91660,16384,2900, 0, 0, 0},  //TV = 3.45(8794 lines)  AV=1.70  SV=10.50  BV=-5.36</t>
  </si>
  <si>
    <t xml:space="preserve">    {99999,16384,2849, 0, 0, 0},  //TV = 3.32(9594 lines)  AV=1.70  SV=10.48  BV=-5.46</t>
  </si>
  <si>
    <t xml:space="preserve">    {99999,16384,3044, 0, 0, 0},  //TV = 3.32(9594 lines)  AV=1.70  SV=10.57  BV=-5.55</t>
  </si>
  <si>
    <t xml:space="preserve">    {99999,16384,3262, 0, 0, 0},  //TV = 3.32(9594 lines)  AV=1.70  SV=10.67  BV=-5.65</t>
  </si>
  <si>
    <t xml:space="preserve">    {99999,16384,3496, 0, 0, 0},  //TV = 3.32(9594 lines)  AV=1.70  SV=10.77  BV=-5.75</t>
  </si>
  <si>
    <t xml:space="preserve">    {99999,16384,3746, 0, 0, 0},  //TV = 3.32(9594 lines)  AV=1.70  SV=10.87  BV=-5.85</t>
  </si>
  <si>
    <t xml:space="preserve">    {99999,16384,4015, 0, 0, 0},  //TV = 3.32(9594 lines)  AV=1.70  SV=10.97  BV=-5.95</t>
  </si>
  <si>
    <t xml:space="preserve">    {99999,16384,4096, 0, 0, 0},  /* TV = 3.32(9594 lines)  AV=1.70  SV=11.00  BV=-5.98 */</t>
  </si>
  <si>
    <t xml:space="preserve">    {0, 0, 0, 0, 0, 0},  //reserved no used</t>
  </si>
  <si>
    <t>No.</t>
    <phoneticPr fontId="2" type="noConversion"/>
  </si>
  <si>
    <t>1. 調整參數，使Diff接近0
2. No.輸入圖片編號，可以畫出參數所在區間</t>
    <phoneticPr fontId="2" type="noConversion"/>
  </si>
  <si>
    <t>THD diff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</si>
</sst>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0_ ;[Red]\-0.00\ "/>
  </numFmts>
  <fonts count="13" x14ac:knownFonts="1"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color theme="1"/>
      <name val="新細明體"/>
      <family val="1"/>
      <charset val="136"/>
      <scheme val="minor"/>
    </font>
    <font>
      <sz val="9"/>
      <color theme="1"/>
      <name val="新細明體"/>
      <family val="2"/>
      <charset val="136"/>
      <scheme val="minor"/>
    </font>
    <font>
      <sz val="18"/>
      <color theme="1"/>
      <name val="Calibri"/>
      <family val="2"/>
    </font>
    <font>
      <b/>
      <sz val="11"/>
      <name val="新細明體"/>
      <family val="1"/>
      <charset val="136"/>
      <scheme val="minor"/>
    </font>
    <font>
      <sz val="11"/>
      <color theme="0" tint="-0.14999847407452621"/>
      <name val="新細明體"/>
      <family val="2"/>
      <charset val="136"/>
      <scheme val="minor"/>
    </font>
    <font>
      <sz val="11"/>
      <color theme="0" tint="-0.1499984740745262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1.5"/>
      <color theme="1"/>
      <name val="Calibri"/>
      <family val="2"/>
    </font>
    <font>
      <sz val="10"/>
      <color theme="1"/>
      <name val="新細明體"/>
      <family val="2"/>
      <charset val="136"/>
      <scheme val="minor"/>
    </font>
    <font>
      <sz val="10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66">
    <xf numFmtId="0" fontId="0" fillId="0" borderId="0" xfId="0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vertical="center"/>
    </xf>
    <xf numFmtId="0" fontId="9" fillId="0" borderId="0" xfId="1" applyFont="1" applyAlignment="1">
      <alignment horizontal="center" vertical="center"/>
    </xf>
    <xf numFmtId="176" fontId="9" fillId="0" borderId="0" xfId="1" applyNumberFormat="1" applyFont="1" applyAlignment="1">
      <alignment horizontal="center" vertical="center"/>
    </xf>
    <xf numFmtId="176" fontId="1" fillId="0" borderId="0" xfId="1" applyNumberFormat="1" applyAlignment="1">
      <alignment horizontal="center" vertical="center"/>
    </xf>
    <xf numFmtId="0" fontId="1" fillId="0" borderId="0" xfId="1">
      <alignment vertical="center"/>
    </xf>
    <xf numFmtId="0" fontId="9" fillId="0" borderId="0" xfId="1" applyFont="1" applyAlignment="1">
      <alignment horizontal="left"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7" fillId="0" borderId="0" xfId="0" applyFont="1" applyAlignment="1">
      <alignment horizontal="center"/>
    </xf>
    <xf numFmtId="178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5" xfId="0" applyBorder="1"/>
    <xf numFmtId="0" fontId="0" fillId="0" borderId="13" xfId="0" applyBorder="1"/>
    <xf numFmtId="0" fontId="0" fillId="2" borderId="1" xfId="0" applyFill="1" applyBorder="1" applyAlignment="1">
      <alignment horizontal="center" vertical="center"/>
    </xf>
    <xf numFmtId="176" fontId="10" fillId="4" borderId="0" xfId="0" applyNumberFormat="1" applyFont="1" applyFill="1" applyAlignment="1">
      <alignment horizontal="left" vertical="center" wrapText="1"/>
    </xf>
    <xf numFmtId="0" fontId="5" fillId="2" borderId="1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14" xfId="0" applyBorder="1"/>
    <xf numFmtId="0" fontId="0" fillId="0" borderId="12" xfId="0" applyBorder="1"/>
    <xf numFmtId="0" fontId="6" fillId="3" borderId="1" xfId="0" applyFont="1" applyFill="1" applyBorder="1" applyAlignment="1">
      <alignment horizontal="center" vertical="center" wrapText="1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1" xfId="0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0" fillId="0" borderId="1" xfId="0" applyBorder="1"/>
  </cellXfs>
  <cellStyles count="2">
    <cellStyle name="一般" xfId="0" builtinId="0"/>
    <cellStyle name="一般 2" xfId="1" xr:uid="{00000000-0005-0000-0000-000001000000}"/>
  </cellStyles>
  <dxfs count="8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9</xdr:row>
      <xdr:rowOff>0</xdr:rowOff>
    </xdr:from>
    <xdr:to>
      <xdr:col>7</xdr:col>
      <xdr:colOff>563118</xdr:colOff>
      <xdr:row>12</xdr:row>
      <xdr:rowOff>152400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65327"/>
        <a:stretch>
          <a:fillRect/>
        </a:stretch>
      </xdr:blipFill>
      <xdr:spPr>
        <a:xfrm>
          <a:off x="257176" y="1800225"/>
          <a:ext cx="4420742" cy="75247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</xdr:col>
      <xdr:colOff>0</xdr:colOff>
      <xdr:row>13</xdr:row>
      <xdr:rowOff>26014</xdr:rowOff>
    </xdr:from>
    <xdr:to>
      <xdr:col>7</xdr:col>
      <xdr:colOff>561976</xdr:colOff>
      <xdr:row>17</xdr:row>
      <xdr:rowOff>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4322"/>
        <a:stretch>
          <a:fillRect/>
        </a:stretch>
      </xdr:blipFill>
      <xdr:spPr>
        <a:xfrm>
          <a:off x="257175" y="2626339"/>
          <a:ext cx="4419601" cy="774086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2:BI200"/>
  <sheetViews>
    <sheetView tabSelected="1" zoomScale="90" zoomScaleNormal="90" workbookViewId="0">
      <pane ySplit="17" topLeftCell="A18" activePane="bottomLeft" state="frozen"/>
      <selection pane="bottomLeft" activeCell="B2" sqref="B2:F5"/>
    </sheetView>
  </sheetViews>
  <sheetFormatPr defaultRowHeight="15.75" x14ac:dyDescent="0.25"/>
  <cols>
    <col min="1" max="1" width="3.85546875" customWidth="1"/>
    <col min="2" max="2" width="4.28515625" style="13" bestFit="1" customWidth="1"/>
    <col min="3" max="7" width="10.7109375" style="13" customWidth="1"/>
    <col min="8" max="8" width="10.7109375" customWidth="1"/>
    <col min="9" max="19" width="10.7109375" style="13" customWidth="1"/>
    <col min="20" max="20" width="3.85546875" customWidth="1"/>
    <col min="21" max="26" width="10.7109375" style="13" customWidth="1"/>
    <col min="27" max="31" width="10.7109375" customWidth="1"/>
    <col min="32" max="32" width="3.85546875" customWidth="1"/>
    <col min="47" max="47" width="3.85546875" customWidth="1"/>
  </cols>
  <sheetData>
    <row r="2" spans="2:31" ht="15.75" customHeight="1" x14ac:dyDescent="0.25">
      <c r="B2" s="49" t="s">
        <v>0</v>
      </c>
      <c r="C2" s="49"/>
      <c r="D2" s="49"/>
      <c r="E2" s="49"/>
      <c r="F2" s="49"/>
      <c r="G2" s="47" t="s">
        <v>236</v>
      </c>
      <c r="H2" s="42" t="e">
        <f>VLOOKUP(G4,B19:BI51,36)</f>
        <v>#N/A</v>
      </c>
      <c r="I2" s="47" t="s">
        <v>1</v>
      </c>
      <c r="J2" s="58"/>
      <c r="K2" s="58"/>
      <c r="L2" s="58"/>
      <c r="M2" s="58"/>
      <c r="N2" s="58"/>
      <c r="O2" s="58"/>
      <c r="P2" s="58"/>
      <c r="Q2" s="58"/>
      <c r="R2" s="58"/>
      <c r="S2" s="59"/>
      <c r="U2" s="47" t="s">
        <v>2</v>
      </c>
      <c r="V2" s="58"/>
      <c r="W2" s="58"/>
      <c r="X2" s="58"/>
      <c r="Y2" s="58"/>
      <c r="Z2" s="58"/>
      <c r="AA2" s="58"/>
      <c r="AB2" s="58"/>
      <c r="AC2" s="58"/>
      <c r="AD2" s="58"/>
      <c r="AE2" s="59"/>
    </row>
    <row r="3" spans="2:31" x14ac:dyDescent="0.25">
      <c r="B3" s="49"/>
      <c r="C3" s="49"/>
      <c r="D3" s="49"/>
      <c r="E3" s="49"/>
      <c r="F3" s="49"/>
      <c r="G3" s="47"/>
      <c r="H3" s="42" t="e">
        <f>VLOOKUP(G4,B19:BI51,37)</f>
        <v>#N/A</v>
      </c>
      <c r="I3" s="60"/>
      <c r="J3" s="61"/>
      <c r="K3" s="61"/>
      <c r="L3" s="61"/>
      <c r="M3" s="61"/>
      <c r="N3" s="61"/>
      <c r="O3" s="61"/>
      <c r="P3" s="61"/>
      <c r="Q3" s="61"/>
      <c r="R3" s="61"/>
      <c r="S3" s="62"/>
      <c r="U3" s="60"/>
      <c r="V3" s="61"/>
      <c r="W3" s="61"/>
      <c r="X3" s="61"/>
      <c r="Y3" s="61"/>
      <c r="Z3" s="61"/>
      <c r="AA3" s="61"/>
      <c r="AB3" s="61"/>
      <c r="AC3" s="61"/>
      <c r="AD3" s="61"/>
      <c r="AE3" s="62"/>
    </row>
    <row r="4" spans="2:31" x14ac:dyDescent="0.25">
      <c r="B4" s="49"/>
      <c r="C4" s="49"/>
      <c r="D4" s="49"/>
      <c r="E4" s="49"/>
      <c r="F4" s="49"/>
      <c r="G4" s="50"/>
      <c r="H4" s="42" t="e">
        <f>VLOOKUP(G4,B19:BI51,40)</f>
        <v>#N/A</v>
      </c>
      <c r="I4" s="21" t="s">
        <v>3</v>
      </c>
      <c r="J4" s="1"/>
      <c r="K4" s="2"/>
      <c r="L4" s="2"/>
      <c r="M4" s="2"/>
      <c r="N4" s="2"/>
      <c r="O4" s="2"/>
      <c r="P4" s="2"/>
      <c r="Q4" s="2"/>
      <c r="R4" s="2"/>
      <c r="S4" s="3"/>
      <c r="U4" s="21" t="s">
        <v>3</v>
      </c>
      <c r="V4" s="1"/>
      <c r="W4" s="2"/>
      <c r="X4" s="2"/>
      <c r="Y4" s="2"/>
      <c r="Z4" s="2"/>
      <c r="AA4" s="2"/>
      <c r="AB4" s="2"/>
      <c r="AC4" s="2"/>
      <c r="AD4" s="2"/>
      <c r="AE4" s="3"/>
    </row>
    <row r="5" spans="2:31" x14ac:dyDescent="0.25">
      <c r="B5" s="49"/>
      <c r="C5" s="49"/>
      <c r="D5" s="49"/>
      <c r="E5" s="49"/>
      <c r="F5" s="49"/>
      <c r="G5" s="51"/>
      <c r="H5" s="42" t="e">
        <f>VLOOKUP(G4,B19:BI51,41)</f>
        <v>#N/A</v>
      </c>
      <c r="I5" s="21" t="s">
        <v>4</v>
      </c>
      <c r="J5" s="4"/>
      <c r="K5" s="5"/>
      <c r="L5" s="5"/>
      <c r="M5" s="5"/>
      <c r="N5" s="5"/>
      <c r="O5" s="5"/>
      <c r="P5" s="5"/>
      <c r="Q5" s="5"/>
      <c r="R5" s="5"/>
      <c r="S5" s="6"/>
      <c r="U5" s="21" t="s">
        <v>4</v>
      </c>
      <c r="V5" s="4"/>
      <c r="W5" s="5"/>
      <c r="X5" s="5"/>
      <c r="Y5" s="5"/>
      <c r="Z5" s="5"/>
      <c r="AA5" s="5"/>
      <c r="AB5" s="5"/>
      <c r="AC5" s="5"/>
      <c r="AD5" s="5"/>
      <c r="AE5" s="6"/>
    </row>
    <row r="6" spans="2:31" ht="15.75" customHeight="1" x14ac:dyDescent="0.25">
      <c r="B6" s="44"/>
      <c r="C6" s="45"/>
      <c r="D6" s="45"/>
      <c r="E6" s="45"/>
      <c r="F6" s="45"/>
      <c r="G6" s="46"/>
      <c r="H6" s="28" t="e">
        <f>VLOOKUP(G4,B19:BI51,51)</f>
        <v>#N/A</v>
      </c>
      <c r="I6" s="28" t="s">
        <v>5</v>
      </c>
      <c r="J6" s="29">
        <v>1</v>
      </c>
      <c r="K6" s="29">
        <v>2</v>
      </c>
      <c r="L6" s="29">
        <v>3</v>
      </c>
      <c r="M6" s="29">
        <v>4</v>
      </c>
      <c r="N6" s="29">
        <v>5</v>
      </c>
      <c r="O6" s="29">
        <v>6</v>
      </c>
      <c r="P6" s="29">
        <v>7</v>
      </c>
      <c r="Q6" s="29">
        <v>8</v>
      </c>
      <c r="R6" s="29">
        <v>9</v>
      </c>
      <c r="S6" s="29">
        <v>10</v>
      </c>
      <c r="U6" s="28" t="s">
        <v>5</v>
      </c>
      <c r="V6" s="29">
        <v>1</v>
      </c>
      <c r="W6" s="29">
        <v>2</v>
      </c>
      <c r="X6" s="29">
        <v>3</v>
      </c>
      <c r="Y6" s="29">
        <v>4</v>
      </c>
      <c r="Z6" s="29">
        <v>5</v>
      </c>
      <c r="AA6" s="29">
        <v>6</v>
      </c>
      <c r="AB6" s="29">
        <v>7</v>
      </c>
      <c r="AC6" s="29">
        <v>8</v>
      </c>
      <c r="AD6" s="29">
        <v>9</v>
      </c>
      <c r="AE6" s="29">
        <v>10</v>
      </c>
    </row>
    <row r="7" spans="2:31" ht="15.75" customHeight="1" x14ac:dyDescent="0.25">
      <c r="H7" s="28" t="e">
        <f>VLOOKUP(G4,B19:BI51,52)</f>
        <v>#N/A</v>
      </c>
      <c r="I7" s="22" t="s">
        <v>6</v>
      </c>
      <c r="J7" s="24">
        <f t="shared" ref="J7:S7" si="0">J5</f>
        <v>0</v>
      </c>
      <c r="K7" s="24">
        <f t="shared" si="0"/>
        <v>0</v>
      </c>
      <c r="L7" s="24">
        <f t="shared" si="0"/>
        <v>0</v>
      </c>
      <c r="M7" s="24">
        <f t="shared" si="0"/>
        <v>0</v>
      </c>
      <c r="N7" s="24">
        <f t="shared" si="0"/>
        <v>0</v>
      </c>
      <c r="O7" s="24">
        <f t="shared" si="0"/>
        <v>0</v>
      </c>
      <c r="P7" s="24">
        <f t="shared" si="0"/>
        <v>0</v>
      </c>
      <c r="Q7" s="24">
        <f t="shared" si="0"/>
        <v>0</v>
      </c>
      <c r="R7" s="24">
        <f t="shared" si="0"/>
        <v>0</v>
      </c>
      <c r="S7" s="24">
        <f t="shared" si="0"/>
        <v>0</v>
      </c>
      <c r="U7" s="22" t="s">
        <v>6</v>
      </c>
      <c r="V7" s="24">
        <f t="shared" ref="V7:AE7" si="1">V5</f>
        <v>0</v>
      </c>
      <c r="W7" s="24">
        <f t="shared" si="1"/>
        <v>0</v>
      </c>
      <c r="X7" s="24">
        <f t="shared" si="1"/>
        <v>0</v>
      </c>
      <c r="Y7" s="24">
        <f t="shared" si="1"/>
        <v>0</v>
      </c>
      <c r="Z7" s="24">
        <f t="shared" si="1"/>
        <v>0</v>
      </c>
      <c r="AA7" s="24">
        <f t="shared" si="1"/>
        <v>0</v>
      </c>
      <c r="AB7" s="24">
        <f t="shared" si="1"/>
        <v>0</v>
      </c>
      <c r="AC7" s="24">
        <f t="shared" si="1"/>
        <v>0</v>
      </c>
      <c r="AD7" s="24">
        <f t="shared" si="1"/>
        <v>0</v>
      </c>
      <c r="AE7" s="24">
        <f t="shared" si="1"/>
        <v>0</v>
      </c>
    </row>
    <row r="8" spans="2:31" ht="15.75" customHeight="1" x14ac:dyDescent="0.25">
      <c r="B8" s="48" t="s">
        <v>7</v>
      </c>
      <c r="C8" s="48"/>
      <c r="D8" s="52" t="s">
        <v>237</v>
      </c>
      <c r="E8" s="53"/>
      <c r="F8" s="53"/>
      <c r="G8" s="53"/>
      <c r="H8" s="28" t="e">
        <f>VLOOKUP(G4,B19:BI51,55)</f>
        <v>#N/A</v>
      </c>
      <c r="I8" s="20">
        <f>J4</f>
        <v>0</v>
      </c>
      <c r="J8" s="1"/>
      <c r="K8" s="2"/>
      <c r="L8" s="2"/>
      <c r="M8" s="2"/>
      <c r="N8" s="2"/>
      <c r="O8" s="2"/>
      <c r="P8" s="2"/>
      <c r="Q8" s="2"/>
      <c r="R8" s="2"/>
      <c r="S8" s="3"/>
      <c r="U8" s="20">
        <f>V4</f>
        <v>0</v>
      </c>
      <c r="V8" s="1"/>
      <c r="W8" s="2"/>
      <c r="X8" s="2"/>
      <c r="Y8" s="2"/>
      <c r="Z8" s="2"/>
      <c r="AA8" s="8"/>
      <c r="AB8" s="8"/>
      <c r="AC8" s="8"/>
      <c r="AD8" s="8"/>
      <c r="AE8" s="9"/>
    </row>
    <row r="9" spans="2:31" ht="15.75" customHeight="1" x14ac:dyDescent="0.25">
      <c r="B9" s="48"/>
      <c r="C9" s="48"/>
      <c r="D9" s="53"/>
      <c r="E9" s="53"/>
      <c r="F9" s="53"/>
      <c r="G9" s="53"/>
      <c r="H9" s="28" t="e">
        <f>VLOOKUP(G4,B19:BI51,56)</f>
        <v>#N/A</v>
      </c>
      <c r="I9" s="20">
        <f>K4</f>
        <v>0</v>
      </c>
      <c r="J9" s="25"/>
      <c r="K9" s="7"/>
      <c r="L9" s="7"/>
      <c r="M9" s="7"/>
      <c r="N9" s="7"/>
      <c r="O9" s="7"/>
      <c r="P9" s="7"/>
      <c r="Q9" s="7"/>
      <c r="R9" s="7"/>
      <c r="S9" s="26"/>
      <c r="U9" s="20">
        <f>W4</f>
        <v>0</v>
      </c>
      <c r="V9" s="25"/>
      <c r="W9" s="7"/>
      <c r="X9" s="7"/>
      <c r="Y9" s="7"/>
      <c r="Z9" s="7"/>
      <c r="AA9" s="7"/>
      <c r="AB9" s="7"/>
      <c r="AC9" s="7"/>
      <c r="AD9" s="7"/>
      <c r="AE9" s="10"/>
    </row>
    <row r="10" spans="2:31" x14ac:dyDescent="0.25">
      <c r="B10" s="16"/>
      <c r="C10" s="16"/>
      <c r="D10" s="16"/>
      <c r="E10" s="16"/>
      <c r="F10" s="16"/>
      <c r="G10" s="16"/>
      <c r="I10" s="20">
        <f>L4</f>
        <v>0</v>
      </c>
      <c r="J10" s="25"/>
      <c r="K10" s="7"/>
      <c r="L10" s="7"/>
      <c r="M10" s="7"/>
      <c r="N10" s="7"/>
      <c r="O10" s="7"/>
      <c r="P10" s="7"/>
      <c r="Q10" s="7"/>
      <c r="R10" s="7"/>
      <c r="S10" s="26"/>
      <c r="U10" s="20">
        <f>X4</f>
        <v>0</v>
      </c>
      <c r="V10" s="25"/>
      <c r="W10" s="7"/>
      <c r="X10" s="7"/>
      <c r="Y10" s="7"/>
      <c r="Z10" s="7"/>
      <c r="AA10" s="7"/>
      <c r="AB10" s="7"/>
      <c r="AC10" s="7"/>
      <c r="AD10" s="7"/>
      <c r="AE10" s="10"/>
    </row>
    <row r="11" spans="2:31" x14ac:dyDescent="0.25">
      <c r="B11" s="16"/>
      <c r="C11" s="16"/>
      <c r="D11" s="16"/>
      <c r="E11" s="16"/>
      <c r="F11" s="16"/>
      <c r="G11" s="16"/>
      <c r="I11" s="20">
        <f>M4</f>
        <v>0</v>
      </c>
      <c r="J11" s="25"/>
      <c r="K11" s="7"/>
      <c r="L11" s="7"/>
      <c r="M11" s="7"/>
      <c r="N11" s="7"/>
      <c r="O11" s="7"/>
      <c r="P11" s="7"/>
      <c r="Q11" s="7"/>
      <c r="R11" s="7"/>
      <c r="S11" s="26"/>
      <c r="U11" s="20">
        <f>Y4</f>
        <v>0</v>
      </c>
      <c r="V11" s="25"/>
      <c r="W11" s="7"/>
      <c r="X11" s="7"/>
      <c r="Y11" s="7"/>
      <c r="Z11" s="7"/>
      <c r="AA11" s="7"/>
      <c r="AB11" s="7"/>
      <c r="AC11" s="7"/>
      <c r="AD11" s="7"/>
      <c r="AE11" s="10"/>
    </row>
    <row r="12" spans="2:31" x14ac:dyDescent="0.25">
      <c r="I12" s="20">
        <f>N4</f>
        <v>0</v>
      </c>
      <c r="J12" s="25"/>
      <c r="K12" s="7"/>
      <c r="L12" s="7"/>
      <c r="M12" s="7"/>
      <c r="N12" s="7"/>
      <c r="O12" s="7"/>
      <c r="P12" s="7"/>
      <c r="Q12" s="7"/>
      <c r="R12" s="7"/>
      <c r="S12" s="26"/>
      <c r="U12" s="20">
        <f>Z4</f>
        <v>0</v>
      </c>
      <c r="V12" s="25"/>
      <c r="W12" s="7"/>
      <c r="X12" s="7"/>
      <c r="Y12" s="7"/>
      <c r="Z12" s="7"/>
      <c r="AA12" s="7"/>
      <c r="AB12" s="7"/>
      <c r="AC12" s="7"/>
      <c r="AD12" s="7"/>
      <c r="AE12" s="10"/>
    </row>
    <row r="13" spans="2:31" x14ac:dyDescent="0.25">
      <c r="I13" s="20">
        <f>O4</f>
        <v>0</v>
      </c>
      <c r="J13" s="25"/>
      <c r="K13" s="7"/>
      <c r="L13" s="7"/>
      <c r="M13" s="7"/>
      <c r="N13" s="7"/>
      <c r="O13" s="7"/>
      <c r="P13" s="7"/>
      <c r="Q13" s="7"/>
      <c r="R13" s="7"/>
      <c r="S13" s="26"/>
      <c r="U13" s="20">
        <f>AA4</f>
        <v>0</v>
      </c>
      <c r="V13" s="25"/>
      <c r="W13" s="7"/>
      <c r="X13" s="7"/>
      <c r="Y13" s="7"/>
      <c r="Z13" s="7"/>
      <c r="AA13" s="7"/>
      <c r="AB13" s="7"/>
      <c r="AC13" s="7"/>
      <c r="AD13" s="7"/>
      <c r="AE13" s="10"/>
    </row>
    <row r="14" spans="2:31" x14ac:dyDescent="0.25">
      <c r="I14" s="20">
        <f>P4</f>
        <v>0</v>
      </c>
      <c r="J14" s="25"/>
      <c r="K14" s="7"/>
      <c r="L14" s="7"/>
      <c r="M14" s="7"/>
      <c r="N14" s="7"/>
      <c r="O14" s="7"/>
      <c r="P14" s="7"/>
      <c r="Q14" s="7"/>
      <c r="R14" s="7"/>
      <c r="S14" s="26"/>
      <c r="U14" s="20">
        <f>AB4</f>
        <v>0</v>
      </c>
      <c r="V14" s="25"/>
      <c r="W14" s="7"/>
      <c r="X14" s="7"/>
      <c r="Y14" s="7"/>
      <c r="Z14" s="7"/>
      <c r="AA14" s="7"/>
      <c r="AB14" s="7"/>
      <c r="AC14" s="7"/>
      <c r="AD14" s="7"/>
      <c r="AE14" s="10"/>
    </row>
    <row r="15" spans="2:31" x14ac:dyDescent="0.25">
      <c r="I15" s="20">
        <f>Q4</f>
        <v>0</v>
      </c>
      <c r="J15" s="25"/>
      <c r="K15" s="7"/>
      <c r="L15" s="7"/>
      <c r="M15" s="7"/>
      <c r="N15" s="7"/>
      <c r="O15" s="7"/>
      <c r="P15" s="7"/>
      <c r="Q15" s="7"/>
      <c r="R15" s="7"/>
      <c r="S15" s="26"/>
      <c r="U15" s="20">
        <f>AC4</f>
        <v>0</v>
      </c>
      <c r="V15" s="25"/>
      <c r="W15" s="7"/>
      <c r="X15" s="7"/>
      <c r="Y15" s="7"/>
      <c r="Z15" s="7"/>
      <c r="AA15" s="7"/>
      <c r="AB15" s="7"/>
      <c r="AC15" s="7"/>
      <c r="AD15" s="7"/>
      <c r="AE15" s="10"/>
    </row>
    <row r="16" spans="2:31" x14ac:dyDescent="0.25">
      <c r="I16" s="20">
        <f>R4</f>
        <v>0</v>
      </c>
      <c r="J16" s="25"/>
      <c r="K16" s="7"/>
      <c r="L16" s="7"/>
      <c r="M16" s="7"/>
      <c r="N16" s="7"/>
      <c r="O16" s="7"/>
      <c r="P16" s="7"/>
      <c r="Q16" s="7"/>
      <c r="R16" s="7"/>
      <c r="S16" s="26"/>
      <c r="U16" s="20">
        <f>AD4</f>
        <v>0</v>
      </c>
      <c r="V16" s="25"/>
      <c r="W16" s="7"/>
      <c r="X16" s="7"/>
      <c r="Y16" s="7"/>
      <c r="Z16" s="7"/>
      <c r="AA16" s="7"/>
      <c r="AB16" s="7"/>
      <c r="AC16" s="7"/>
      <c r="AD16" s="7"/>
      <c r="AE16" s="10"/>
    </row>
    <row r="17" spans="2:61" x14ac:dyDescent="0.25">
      <c r="I17" s="20">
        <f>S4</f>
        <v>0</v>
      </c>
      <c r="J17" s="4"/>
      <c r="K17" s="5"/>
      <c r="L17" s="5"/>
      <c r="M17" s="5"/>
      <c r="N17" s="5"/>
      <c r="O17" s="5"/>
      <c r="P17" s="5"/>
      <c r="Q17" s="5"/>
      <c r="R17" s="5"/>
      <c r="S17" s="6"/>
      <c r="U17" s="20">
        <f>AE4</f>
        <v>0</v>
      </c>
      <c r="V17" s="4"/>
      <c r="W17" s="5"/>
      <c r="X17" s="5"/>
      <c r="Y17" s="5"/>
      <c r="Z17" s="5"/>
      <c r="AA17" s="11"/>
      <c r="AB17" s="11"/>
      <c r="AC17" s="11"/>
      <c r="AD17" s="11"/>
      <c r="AE17" s="12"/>
    </row>
    <row r="19" spans="2:61" s="7" customFormat="1" x14ac:dyDescent="0.25">
      <c r="B19" s="47" t="s">
        <v>8</v>
      </c>
      <c r="C19" s="45"/>
      <c r="D19" s="45"/>
      <c r="E19" s="46"/>
      <c r="F19" s="17" t="s">
        <v>9</v>
      </c>
      <c r="G19" s="17" t="s">
        <v>9</v>
      </c>
      <c r="H19" s="17" t="s">
        <v>10</v>
      </c>
      <c r="I19" s="17" t="s">
        <v>11</v>
      </c>
      <c r="J19" s="17" t="s">
        <v>11</v>
      </c>
      <c r="K19" s="17" t="s">
        <v>12</v>
      </c>
      <c r="L19" s="17" t="s">
        <v>11</v>
      </c>
      <c r="M19" s="17" t="s">
        <v>13</v>
      </c>
      <c r="N19" s="17" t="s">
        <v>11</v>
      </c>
      <c r="O19" s="17" t="s">
        <v>14</v>
      </c>
      <c r="P19" s="17" t="s">
        <v>15</v>
      </c>
      <c r="Q19" s="17" t="s">
        <v>15</v>
      </c>
      <c r="R19" s="17" t="s">
        <v>13</v>
      </c>
      <c r="S19" s="17" t="s">
        <v>13</v>
      </c>
      <c r="U19" s="54" t="s">
        <v>16</v>
      </c>
      <c r="V19" s="54" t="s">
        <v>17</v>
      </c>
      <c r="W19" s="64" t="s">
        <v>18</v>
      </c>
      <c r="X19" s="54" t="s">
        <v>19</v>
      </c>
      <c r="Y19" s="54" t="s">
        <v>20</v>
      </c>
      <c r="Z19" s="54" t="s">
        <v>21</v>
      </c>
      <c r="AA19" s="63" t="s">
        <v>238</v>
      </c>
    </row>
    <row r="20" spans="2:61" s="13" customFormat="1" ht="45" customHeight="1" x14ac:dyDescent="0.25">
      <c r="B20" s="47" t="s">
        <v>22</v>
      </c>
      <c r="C20" s="45"/>
      <c r="D20" s="45"/>
      <c r="E20" s="46"/>
      <c r="F20" s="18" t="s">
        <v>23</v>
      </c>
      <c r="G20" s="18" t="s">
        <v>24</v>
      </c>
      <c r="H20" s="18" t="s">
        <v>25</v>
      </c>
      <c r="I20" s="18" t="s">
        <v>26</v>
      </c>
      <c r="J20" s="18" t="s">
        <v>27</v>
      </c>
      <c r="K20" s="18" t="s">
        <v>28</v>
      </c>
      <c r="L20" s="18" t="s">
        <v>29</v>
      </c>
      <c r="M20" s="19" t="s">
        <v>30</v>
      </c>
      <c r="N20" s="18" t="s">
        <v>31</v>
      </c>
      <c r="O20" s="18" t="s">
        <v>32</v>
      </c>
      <c r="P20" s="18" t="s">
        <v>33</v>
      </c>
      <c r="Q20" s="18" t="s">
        <v>34</v>
      </c>
      <c r="R20" s="57" t="s">
        <v>35</v>
      </c>
      <c r="S20" s="57" t="s">
        <v>36</v>
      </c>
      <c r="U20" s="55"/>
      <c r="V20" s="55"/>
      <c r="W20" s="55"/>
      <c r="X20" s="55"/>
      <c r="Y20" s="55"/>
      <c r="Z20" s="55"/>
      <c r="AA20" s="55"/>
      <c r="AB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</row>
    <row r="21" spans="2:61" s="14" customFormat="1" ht="31.5" customHeight="1" x14ac:dyDescent="0.25">
      <c r="B21" s="15" t="s">
        <v>37</v>
      </c>
      <c r="C21" s="15" t="s">
        <v>38</v>
      </c>
      <c r="D21" s="15" t="s">
        <v>39</v>
      </c>
      <c r="E21" s="15" t="s">
        <v>40</v>
      </c>
      <c r="F21" s="15" t="s">
        <v>41</v>
      </c>
      <c r="G21" s="15" t="s">
        <v>42</v>
      </c>
      <c r="H21" s="15" t="s">
        <v>43</v>
      </c>
      <c r="I21" s="15" t="s">
        <v>44</v>
      </c>
      <c r="J21" s="15" t="s">
        <v>45</v>
      </c>
      <c r="K21" s="15" t="s">
        <v>46</v>
      </c>
      <c r="L21" s="15" t="s">
        <v>47</v>
      </c>
      <c r="M21" s="23" t="s">
        <v>48</v>
      </c>
      <c r="N21" s="15" t="s">
        <v>49</v>
      </c>
      <c r="O21" s="15" t="s">
        <v>3</v>
      </c>
      <c r="P21" s="15" t="s">
        <v>4</v>
      </c>
      <c r="Q21" s="15" t="s">
        <v>50</v>
      </c>
      <c r="R21" s="56"/>
      <c r="S21" s="56"/>
      <c r="U21" s="56"/>
      <c r="V21" s="56"/>
      <c r="W21" s="56"/>
      <c r="X21" s="56"/>
      <c r="Y21" s="56"/>
      <c r="Z21" s="56"/>
      <c r="AA21" s="56"/>
      <c r="AB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</row>
    <row r="22" spans="2:61" s="13" customFormat="1" ht="75" customHeight="1" x14ac:dyDescent="0.25">
      <c r="B22" s="40"/>
      <c r="C22" s="40"/>
      <c r="D22" s="40"/>
      <c r="E22" s="17"/>
      <c r="F22" s="17"/>
      <c r="G22" s="17"/>
      <c r="H22" s="17"/>
      <c r="I22" s="17"/>
      <c r="J22" s="17"/>
      <c r="K22" s="17"/>
      <c r="L22" s="17"/>
      <c r="M22" s="17" t="e">
        <f t="shared" ref="M22:M85" si="2">L22/J22</f>
        <v>#DIV/0!</v>
      </c>
      <c r="N22" s="17"/>
      <c r="O22" s="17"/>
      <c r="P22" s="17"/>
      <c r="Q22" s="17"/>
      <c r="R22" s="27"/>
      <c r="S22" s="27"/>
      <c r="U22" s="17">
        <f t="shared" ref="U22:U51" si="3">Q22/16</f>
        <v>0</v>
      </c>
      <c r="V22" s="17" t="e">
        <f t="shared" ref="V22:V51" si="4">R22/U22</f>
        <v>#DIV/0!</v>
      </c>
      <c r="W22" s="30" t="e">
        <f t="shared" ref="W22:W51" si="5">S22/V22*16</f>
        <v>#DIV/0!</v>
      </c>
      <c r="X22" s="17" t="e">
        <f t="shared" ref="X22:X51" si="6">INT((AQ22+((AR22-AQ22)*(AG22-AK22)/(AL22-AK22)))+(((AS22+((AT22-AS22)*(AG22-AK22)/(AL22-AK22)))-(AQ22+((AR22-AQ22)*(AG22-AK22)/(AL22-AK22))))*(AH22-AO22)/(AP22-AO22)))</f>
        <v>#N/A</v>
      </c>
      <c r="Y22" s="17" t="e">
        <f t="shared" ref="Y22:Y51" si="7">INT((BF22+((BG22-BF22)*(AV22-AZ22)/(BA22-AZ22)))+(((BH22+((BI22-BH22)*(AV22-AZ22)/(BA22-AZ22)))-(BF22+((BG22-BF22)*(AV22-AZ22)/(BA22-AZ22))))*(AW22-BD22)/(BE22-BD22)))</f>
        <v>#N/A</v>
      </c>
      <c r="Z22" s="17" t="e">
        <f t="shared" ref="Z22:Z51" si="8">(X22*(1024-K22)+Y22*K22)/1024</f>
        <v>#N/A</v>
      </c>
      <c r="AA22" s="43" t="e">
        <f>W22-Z22</f>
        <v>#DIV/0!</v>
      </c>
      <c r="AG22" s="31">
        <f t="shared" ref="AG22:AG51" si="9">IF(O22&gt;MAX($J$4:$S$4),MAX($J$4:$S$4)-0.1,IF(O22&lt;MIN($J$4:$S$4),MIN($J$4:$S$4)+0.1,O22))</f>
        <v>0</v>
      </c>
      <c r="AH22" s="31">
        <f t="shared" ref="AH22:AH51" si="10">IF(P22&gt;MAX($J$5:$S$5),MAX($J$5:$S$5)-0.1,IF(P22&lt;MIN($J$5:$S$5),MIN($J$5:$S$5)+0.1,P22))</f>
        <v>0</v>
      </c>
      <c r="AI22" s="28" t="e">
        <f t="shared" ref="AI22:AI51" si="11">_xlfn.XLOOKUP(AK22,$J$4:$S$4,$J$6:$S$6)</f>
        <v>#N/A</v>
      </c>
      <c r="AJ22" s="28" t="e">
        <f t="shared" ref="AJ22:AJ51" si="12">AI22+1</f>
        <v>#N/A</v>
      </c>
      <c r="AK22" s="28" t="e">
        <f t="shared" ref="AK22:AK51" si="13">HLOOKUP(ROUNDUP(AG22,1),$J$4:$S$4,1,TRUE)</f>
        <v>#N/A</v>
      </c>
      <c r="AL22" s="28" t="e">
        <f t="shared" ref="AL22:AL51" si="14">_xlfn.XLOOKUP(AJ22,$J$6:$S$6,$J$4:$S$4)</f>
        <v>#N/A</v>
      </c>
      <c r="AM22" s="28" t="e">
        <f t="shared" ref="AM22:AM51" si="15">_xlfn.XLOOKUP(AO22,$J$5:$S$5,$J$6:$S$6)</f>
        <v>#N/A</v>
      </c>
      <c r="AN22" s="28" t="e">
        <f t="shared" ref="AN22:AN51" si="16">AM22+1</f>
        <v>#N/A</v>
      </c>
      <c r="AO22" s="28" t="e">
        <f t="shared" ref="AO22:AO51" si="17">HLOOKUP(AH22,$J$5:$S$5,1,TRUE)</f>
        <v>#N/A</v>
      </c>
      <c r="AP22" s="28" t="e">
        <f t="shared" ref="AP22:AP51" si="18">_xlfn.XLOOKUP(AN22,$J$6:$S$6,$J$5:$S$5)</f>
        <v>#N/A</v>
      </c>
      <c r="AQ22" s="28" t="e">
        <f t="shared" ref="AQ22:AQ51" si="19">VLOOKUP(AK22,$I$8:$S$17,AM22+1,FALSE)</f>
        <v>#N/A</v>
      </c>
      <c r="AR22" s="28" t="e">
        <f t="shared" ref="AR22:AR51" si="20">VLOOKUP(AL22,$I$8:$S$17,AM22+1,FALSE)</f>
        <v>#N/A</v>
      </c>
      <c r="AS22" s="28" t="e">
        <f t="shared" ref="AS22:AS51" si="21">VLOOKUP(AK22,$I$8:$S$17,AN22+1,FALSE)</f>
        <v>#N/A</v>
      </c>
      <c r="AT22" s="28" t="e">
        <f t="shared" ref="AT22:AT51" si="22">VLOOKUP(AL22,$I$8:$S$17,AN22+1,FALSE)</f>
        <v>#N/A</v>
      </c>
      <c r="AU22" s="28"/>
      <c r="AV22" s="31">
        <f>IF(O22&gt;MAX($V$4:$AE$4),MAX($V$4:$AE$4)-0.1,IF(O22&lt;MIN($V$4:$AE4),MIN($V$4:$AE$4)+0.1,O22))</f>
        <v>0</v>
      </c>
      <c r="AW22" s="31">
        <f t="shared" ref="AW22:AW51" si="23">IF(P22&gt;MAX($V$5:$AE$5),MAX($V$5:$AE$5)-0.1,IF(P22&lt;MIN($V$5:$AE$5),MIN($V$5:$AE$5)+0.1,P22))</f>
        <v>0</v>
      </c>
      <c r="AX22" s="28" t="e">
        <f t="shared" ref="AX22:AX51" si="24">_xlfn.XLOOKUP(AZ22,$V$4:$AE$4,$V$6:$AE$6)</f>
        <v>#N/A</v>
      </c>
      <c r="AY22" s="28" t="e">
        <f t="shared" ref="AY22:AY51" si="25">AX22+1</f>
        <v>#N/A</v>
      </c>
      <c r="AZ22" s="28" t="e">
        <f t="shared" ref="AZ22:AZ51" si="26">HLOOKUP(ROUNDUP(AV22,1),$V$4:$AE$4,1,TRUE)</f>
        <v>#N/A</v>
      </c>
      <c r="BA22" s="28" t="e">
        <f t="shared" ref="BA22:BA51" si="27">_xlfn.XLOOKUP(AY22,$V$6:$AE$6,$V$4:$AE$4)</f>
        <v>#N/A</v>
      </c>
      <c r="BB22" s="28" t="e">
        <f t="shared" ref="BB22:BB51" si="28">_xlfn.XLOOKUP(BD22,$V$5:$AE$5,$V$6:$AE$6)</f>
        <v>#N/A</v>
      </c>
      <c r="BC22" s="28" t="e">
        <f t="shared" ref="BC22:BC51" si="29">BB22+1</f>
        <v>#N/A</v>
      </c>
      <c r="BD22" s="28" t="e">
        <f t="shared" ref="BD22:BD51" si="30">HLOOKUP(AW22,$V$5:$AE$5,1,TRUE)</f>
        <v>#N/A</v>
      </c>
      <c r="BE22" s="28" t="e">
        <f t="shared" ref="BE22:BE51" si="31">_xlfn.XLOOKUP(BC22,$V$6:$AE$6,$V$5:$AE$5)</f>
        <v>#N/A</v>
      </c>
      <c r="BF22" s="28" t="e">
        <f t="shared" ref="BF22:BF51" si="32">VLOOKUP(AZ22,$U$8:$AE$17,BB22+1,FALSE)</f>
        <v>#N/A</v>
      </c>
      <c r="BG22" s="28" t="e">
        <f t="shared" ref="BG22:BG51" si="33">VLOOKUP(BA22,$U$8:$AE$17,BB22+1,FALSE)</f>
        <v>#N/A</v>
      </c>
      <c r="BH22" s="28" t="e">
        <f t="shared" ref="BH22:BH51" si="34">VLOOKUP(AZ22,$U$8:$AE$17,BC22+1,FALSE)</f>
        <v>#N/A</v>
      </c>
      <c r="BI22" s="28" t="e">
        <f t="shared" ref="BI22:BI51" si="35">VLOOKUP(BA22,$U$8:$AE$17,BC22+1,FALSE)</f>
        <v>#N/A</v>
      </c>
    </row>
    <row r="23" spans="2:61" s="13" customFormat="1" ht="75" customHeight="1" x14ac:dyDescent="0.25"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 t="e">
        <f t="shared" si="2"/>
        <v>#DIV/0!</v>
      </c>
      <c r="N23" s="17"/>
      <c r="O23" s="17"/>
      <c r="P23" s="17"/>
      <c r="Q23" s="17"/>
      <c r="R23" s="27"/>
      <c r="S23" s="27"/>
      <c r="U23" s="17">
        <f t="shared" si="3"/>
        <v>0</v>
      </c>
      <c r="V23" s="17" t="e">
        <f t="shared" si="4"/>
        <v>#DIV/0!</v>
      </c>
      <c r="W23" s="30" t="e">
        <f t="shared" si="5"/>
        <v>#DIV/0!</v>
      </c>
      <c r="X23" s="17" t="e">
        <f t="shared" si="6"/>
        <v>#N/A</v>
      </c>
      <c r="Y23" s="17" t="e">
        <f t="shared" si="7"/>
        <v>#N/A</v>
      </c>
      <c r="Z23" s="17" t="e">
        <f t="shared" si="8"/>
        <v>#N/A</v>
      </c>
      <c r="AA23" s="43" t="e">
        <f t="shared" ref="AA23:AA51" si="36">W23-Z23</f>
        <v>#DIV/0!</v>
      </c>
      <c r="AG23" s="31">
        <f t="shared" si="9"/>
        <v>0</v>
      </c>
      <c r="AH23" s="31">
        <f t="shared" si="10"/>
        <v>0</v>
      </c>
      <c r="AI23" s="28" t="e">
        <f t="shared" si="11"/>
        <v>#N/A</v>
      </c>
      <c r="AJ23" s="28" t="e">
        <f t="shared" si="12"/>
        <v>#N/A</v>
      </c>
      <c r="AK23" s="28" t="e">
        <f t="shared" si="13"/>
        <v>#N/A</v>
      </c>
      <c r="AL23" s="28" t="e">
        <f t="shared" si="14"/>
        <v>#N/A</v>
      </c>
      <c r="AM23" s="28" t="e">
        <f t="shared" si="15"/>
        <v>#N/A</v>
      </c>
      <c r="AN23" s="28" t="e">
        <f t="shared" si="16"/>
        <v>#N/A</v>
      </c>
      <c r="AO23" s="28" t="e">
        <f t="shared" si="17"/>
        <v>#N/A</v>
      </c>
      <c r="AP23" s="28" t="e">
        <f t="shared" si="18"/>
        <v>#N/A</v>
      </c>
      <c r="AQ23" s="28" t="e">
        <f t="shared" si="19"/>
        <v>#N/A</v>
      </c>
      <c r="AR23" s="28" t="e">
        <f t="shared" si="20"/>
        <v>#N/A</v>
      </c>
      <c r="AS23" s="28" t="e">
        <f t="shared" si="21"/>
        <v>#N/A</v>
      </c>
      <c r="AT23" s="28" t="e">
        <f t="shared" si="22"/>
        <v>#N/A</v>
      </c>
      <c r="AU23" s="28"/>
      <c r="AV23" s="31">
        <f>IF(O23&gt;MAX($V$4:$AE$4),MAX($V$4:$AE$4)-0.1,IF(O23&lt;MIN($V$4:$AE5),MIN($V$4:$AE$4)+0.1,O23))</f>
        <v>0</v>
      </c>
      <c r="AW23" s="31">
        <f t="shared" si="23"/>
        <v>0</v>
      </c>
      <c r="AX23" s="28" t="e">
        <f t="shared" si="24"/>
        <v>#N/A</v>
      </c>
      <c r="AY23" s="28" t="e">
        <f t="shared" si="25"/>
        <v>#N/A</v>
      </c>
      <c r="AZ23" s="28" t="e">
        <f t="shared" si="26"/>
        <v>#N/A</v>
      </c>
      <c r="BA23" s="28" t="e">
        <f t="shared" si="27"/>
        <v>#N/A</v>
      </c>
      <c r="BB23" s="28" t="e">
        <f t="shared" si="28"/>
        <v>#N/A</v>
      </c>
      <c r="BC23" s="28" t="e">
        <f t="shared" si="29"/>
        <v>#N/A</v>
      </c>
      <c r="BD23" s="28" t="e">
        <f t="shared" si="30"/>
        <v>#N/A</v>
      </c>
      <c r="BE23" s="28" t="e">
        <f t="shared" si="31"/>
        <v>#N/A</v>
      </c>
      <c r="BF23" s="28" t="e">
        <f t="shared" si="32"/>
        <v>#N/A</v>
      </c>
      <c r="BG23" s="28" t="e">
        <f t="shared" si="33"/>
        <v>#N/A</v>
      </c>
      <c r="BH23" s="28" t="e">
        <f t="shared" si="34"/>
        <v>#N/A</v>
      </c>
      <c r="BI23" s="28" t="e">
        <f t="shared" si="35"/>
        <v>#N/A</v>
      </c>
    </row>
    <row r="24" spans="2:61" s="13" customFormat="1" ht="75" customHeight="1" x14ac:dyDescent="0.25"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 t="e">
        <f t="shared" si="2"/>
        <v>#DIV/0!</v>
      </c>
      <c r="N24" s="17"/>
      <c r="O24" s="17"/>
      <c r="P24" s="17"/>
      <c r="Q24" s="17"/>
      <c r="R24" s="27"/>
      <c r="S24" s="27"/>
      <c r="U24" s="17">
        <f t="shared" si="3"/>
        <v>0</v>
      </c>
      <c r="V24" s="17" t="e">
        <f t="shared" si="4"/>
        <v>#DIV/0!</v>
      </c>
      <c r="W24" s="30" t="e">
        <f t="shared" si="5"/>
        <v>#DIV/0!</v>
      </c>
      <c r="X24" s="17" t="e">
        <f t="shared" si="6"/>
        <v>#N/A</v>
      </c>
      <c r="Y24" s="17" t="e">
        <f t="shared" si="7"/>
        <v>#N/A</v>
      </c>
      <c r="Z24" s="17" t="e">
        <f t="shared" si="8"/>
        <v>#N/A</v>
      </c>
      <c r="AA24" s="43" t="e">
        <f t="shared" si="36"/>
        <v>#DIV/0!</v>
      </c>
      <c r="AG24" s="31">
        <f t="shared" si="9"/>
        <v>0</v>
      </c>
      <c r="AH24" s="31">
        <f t="shared" si="10"/>
        <v>0</v>
      </c>
      <c r="AI24" s="28" t="e">
        <f t="shared" si="11"/>
        <v>#N/A</v>
      </c>
      <c r="AJ24" s="28" t="e">
        <f t="shared" si="12"/>
        <v>#N/A</v>
      </c>
      <c r="AK24" s="28" t="e">
        <f t="shared" si="13"/>
        <v>#N/A</v>
      </c>
      <c r="AL24" s="28" t="e">
        <f t="shared" si="14"/>
        <v>#N/A</v>
      </c>
      <c r="AM24" s="28" t="e">
        <f t="shared" si="15"/>
        <v>#N/A</v>
      </c>
      <c r="AN24" s="28" t="e">
        <f t="shared" si="16"/>
        <v>#N/A</v>
      </c>
      <c r="AO24" s="28" t="e">
        <f t="shared" si="17"/>
        <v>#N/A</v>
      </c>
      <c r="AP24" s="28" t="e">
        <f t="shared" si="18"/>
        <v>#N/A</v>
      </c>
      <c r="AQ24" s="28" t="e">
        <f t="shared" si="19"/>
        <v>#N/A</v>
      </c>
      <c r="AR24" s="28" t="e">
        <f t="shared" si="20"/>
        <v>#N/A</v>
      </c>
      <c r="AS24" s="28" t="e">
        <f t="shared" si="21"/>
        <v>#N/A</v>
      </c>
      <c r="AT24" s="28" t="e">
        <f t="shared" si="22"/>
        <v>#N/A</v>
      </c>
      <c r="AU24" s="28"/>
      <c r="AV24" s="31">
        <f>IF(O24&gt;MAX($V$4:$AE$4),MAX($V$4:$AE$4)-0.1,IF(O24&lt;MIN($V$4:$AE6),MIN($V$4:$AE$4)+0.1,O24))</f>
        <v>0.1</v>
      </c>
      <c r="AW24" s="31">
        <f t="shared" si="23"/>
        <v>0</v>
      </c>
      <c r="AX24" s="28" t="e">
        <f t="shared" si="24"/>
        <v>#N/A</v>
      </c>
      <c r="AY24" s="28" t="e">
        <f t="shared" si="25"/>
        <v>#N/A</v>
      </c>
      <c r="AZ24" s="28" t="e">
        <f t="shared" si="26"/>
        <v>#N/A</v>
      </c>
      <c r="BA24" s="28" t="e">
        <f t="shared" si="27"/>
        <v>#N/A</v>
      </c>
      <c r="BB24" s="28" t="e">
        <f t="shared" si="28"/>
        <v>#N/A</v>
      </c>
      <c r="BC24" s="28" t="e">
        <f t="shared" si="29"/>
        <v>#N/A</v>
      </c>
      <c r="BD24" s="28" t="e">
        <f t="shared" si="30"/>
        <v>#N/A</v>
      </c>
      <c r="BE24" s="28" t="e">
        <f t="shared" si="31"/>
        <v>#N/A</v>
      </c>
      <c r="BF24" s="28" t="e">
        <f t="shared" si="32"/>
        <v>#N/A</v>
      </c>
      <c r="BG24" s="28" t="e">
        <f t="shared" si="33"/>
        <v>#N/A</v>
      </c>
      <c r="BH24" s="28" t="e">
        <f t="shared" si="34"/>
        <v>#N/A</v>
      </c>
      <c r="BI24" s="28" t="e">
        <f t="shared" si="35"/>
        <v>#N/A</v>
      </c>
    </row>
    <row r="25" spans="2:61" s="13" customFormat="1" ht="75" customHeight="1" x14ac:dyDescent="0.25"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 t="e">
        <f t="shared" si="2"/>
        <v>#DIV/0!</v>
      </c>
      <c r="N25" s="17"/>
      <c r="O25" s="17"/>
      <c r="P25" s="17"/>
      <c r="Q25" s="17"/>
      <c r="R25" s="27"/>
      <c r="S25" s="27"/>
      <c r="U25" s="17">
        <f t="shared" si="3"/>
        <v>0</v>
      </c>
      <c r="V25" s="17" t="e">
        <f t="shared" si="4"/>
        <v>#DIV/0!</v>
      </c>
      <c r="W25" s="30" t="e">
        <f t="shared" si="5"/>
        <v>#DIV/0!</v>
      </c>
      <c r="X25" s="17" t="e">
        <f t="shared" si="6"/>
        <v>#N/A</v>
      </c>
      <c r="Y25" s="17" t="e">
        <f t="shared" si="7"/>
        <v>#N/A</v>
      </c>
      <c r="Z25" s="17" t="e">
        <f t="shared" si="8"/>
        <v>#N/A</v>
      </c>
      <c r="AA25" s="43" t="e">
        <f t="shared" si="36"/>
        <v>#DIV/0!</v>
      </c>
      <c r="AG25" s="31">
        <f t="shared" si="9"/>
        <v>0</v>
      </c>
      <c r="AH25" s="31">
        <f t="shared" si="10"/>
        <v>0</v>
      </c>
      <c r="AI25" s="28" t="e">
        <f t="shared" si="11"/>
        <v>#N/A</v>
      </c>
      <c r="AJ25" s="28" t="e">
        <f t="shared" si="12"/>
        <v>#N/A</v>
      </c>
      <c r="AK25" s="28" t="e">
        <f t="shared" si="13"/>
        <v>#N/A</v>
      </c>
      <c r="AL25" s="28" t="e">
        <f t="shared" si="14"/>
        <v>#N/A</v>
      </c>
      <c r="AM25" s="28" t="e">
        <f t="shared" si="15"/>
        <v>#N/A</v>
      </c>
      <c r="AN25" s="28" t="e">
        <f t="shared" si="16"/>
        <v>#N/A</v>
      </c>
      <c r="AO25" s="28" t="e">
        <f t="shared" si="17"/>
        <v>#N/A</v>
      </c>
      <c r="AP25" s="28" t="e">
        <f t="shared" si="18"/>
        <v>#N/A</v>
      </c>
      <c r="AQ25" s="28" t="e">
        <f t="shared" si="19"/>
        <v>#N/A</v>
      </c>
      <c r="AR25" s="28" t="e">
        <f t="shared" si="20"/>
        <v>#N/A</v>
      </c>
      <c r="AS25" s="28" t="e">
        <f t="shared" si="21"/>
        <v>#N/A</v>
      </c>
      <c r="AT25" s="28" t="e">
        <f t="shared" si="22"/>
        <v>#N/A</v>
      </c>
      <c r="AU25" s="28"/>
      <c r="AV25" s="31">
        <f>IF(O25&gt;MAX($V$4:$AE$4),MAX($V$4:$AE$4)-0.1,IF(O25&lt;MIN($V$4:$AE7),MIN($V$4:$AE$4)+0.1,O25))</f>
        <v>0</v>
      </c>
      <c r="AW25" s="31">
        <f t="shared" si="23"/>
        <v>0</v>
      </c>
      <c r="AX25" s="28" t="e">
        <f t="shared" si="24"/>
        <v>#N/A</v>
      </c>
      <c r="AY25" s="28" t="e">
        <f t="shared" si="25"/>
        <v>#N/A</v>
      </c>
      <c r="AZ25" s="28" t="e">
        <f t="shared" si="26"/>
        <v>#N/A</v>
      </c>
      <c r="BA25" s="28" t="e">
        <f t="shared" si="27"/>
        <v>#N/A</v>
      </c>
      <c r="BB25" s="28" t="e">
        <f t="shared" si="28"/>
        <v>#N/A</v>
      </c>
      <c r="BC25" s="28" t="e">
        <f t="shared" si="29"/>
        <v>#N/A</v>
      </c>
      <c r="BD25" s="28" t="e">
        <f t="shared" si="30"/>
        <v>#N/A</v>
      </c>
      <c r="BE25" s="28" t="e">
        <f t="shared" si="31"/>
        <v>#N/A</v>
      </c>
      <c r="BF25" s="28" t="e">
        <f t="shared" si="32"/>
        <v>#N/A</v>
      </c>
      <c r="BG25" s="28" t="e">
        <f t="shared" si="33"/>
        <v>#N/A</v>
      </c>
      <c r="BH25" s="28" t="e">
        <f t="shared" si="34"/>
        <v>#N/A</v>
      </c>
      <c r="BI25" s="28" t="e">
        <f t="shared" si="35"/>
        <v>#N/A</v>
      </c>
    </row>
    <row r="26" spans="2:61" s="13" customFormat="1" ht="75" customHeight="1" x14ac:dyDescent="0.2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 t="e">
        <f t="shared" si="2"/>
        <v>#DIV/0!</v>
      </c>
      <c r="N26" s="17"/>
      <c r="O26" s="17"/>
      <c r="P26" s="17"/>
      <c r="Q26" s="17"/>
      <c r="R26" s="27"/>
      <c r="S26" s="27"/>
      <c r="U26" s="17">
        <f t="shared" si="3"/>
        <v>0</v>
      </c>
      <c r="V26" s="17" t="e">
        <f t="shared" si="4"/>
        <v>#DIV/0!</v>
      </c>
      <c r="W26" s="30" t="e">
        <f t="shared" si="5"/>
        <v>#DIV/0!</v>
      </c>
      <c r="X26" s="17" t="e">
        <f t="shared" si="6"/>
        <v>#N/A</v>
      </c>
      <c r="Y26" s="17" t="e">
        <f t="shared" si="7"/>
        <v>#N/A</v>
      </c>
      <c r="Z26" s="17" t="e">
        <f t="shared" si="8"/>
        <v>#N/A</v>
      </c>
      <c r="AA26" s="43" t="e">
        <f t="shared" si="36"/>
        <v>#DIV/0!</v>
      </c>
      <c r="AG26" s="31">
        <f t="shared" si="9"/>
        <v>0</v>
      </c>
      <c r="AH26" s="31">
        <f t="shared" si="10"/>
        <v>0</v>
      </c>
      <c r="AI26" s="28" t="e">
        <f t="shared" si="11"/>
        <v>#N/A</v>
      </c>
      <c r="AJ26" s="28" t="e">
        <f t="shared" si="12"/>
        <v>#N/A</v>
      </c>
      <c r="AK26" s="28" t="e">
        <f t="shared" si="13"/>
        <v>#N/A</v>
      </c>
      <c r="AL26" s="28" t="e">
        <f t="shared" si="14"/>
        <v>#N/A</v>
      </c>
      <c r="AM26" s="28" t="e">
        <f t="shared" si="15"/>
        <v>#N/A</v>
      </c>
      <c r="AN26" s="28" t="e">
        <f t="shared" si="16"/>
        <v>#N/A</v>
      </c>
      <c r="AO26" s="28" t="e">
        <f t="shared" si="17"/>
        <v>#N/A</v>
      </c>
      <c r="AP26" s="28" t="e">
        <f t="shared" si="18"/>
        <v>#N/A</v>
      </c>
      <c r="AQ26" s="28" t="e">
        <f t="shared" si="19"/>
        <v>#N/A</v>
      </c>
      <c r="AR26" s="28" t="e">
        <f t="shared" si="20"/>
        <v>#N/A</v>
      </c>
      <c r="AS26" s="28" t="e">
        <f t="shared" si="21"/>
        <v>#N/A</v>
      </c>
      <c r="AT26" s="28" t="e">
        <f t="shared" si="22"/>
        <v>#N/A</v>
      </c>
      <c r="AU26" s="28"/>
      <c r="AV26" s="31">
        <f>IF(O26&gt;MAX($V$4:$AE$4),MAX($V$4:$AE$4)-0.1,IF(O26&lt;MIN($V$4:$AE8),MIN($V$4:$AE$4)+0.1,O26))</f>
        <v>0</v>
      </c>
      <c r="AW26" s="31">
        <f t="shared" si="23"/>
        <v>0</v>
      </c>
      <c r="AX26" s="28" t="e">
        <f t="shared" si="24"/>
        <v>#N/A</v>
      </c>
      <c r="AY26" s="28" t="e">
        <f t="shared" si="25"/>
        <v>#N/A</v>
      </c>
      <c r="AZ26" s="28" t="e">
        <f t="shared" si="26"/>
        <v>#N/A</v>
      </c>
      <c r="BA26" s="28" t="e">
        <f t="shared" si="27"/>
        <v>#N/A</v>
      </c>
      <c r="BB26" s="28" t="e">
        <f t="shared" si="28"/>
        <v>#N/A</v>
      </c>
      <c r="BC26" s="28" t="e">
        <f t="shared" si="29"/>
        <v>#N/A</v>
      </c>
      <c r="BD26" s="28" t="e">
        <f t="shared" si="30"/>
        <v>#N/A</v>
      </c>
      <c r="BE26" s="28" t="e">
        <f t="shared" si="31"/>
        <v>#N/A</v>
      </c>
      <c r="BF26" s="28" t="e">
        <f t="shared" si="32"/>
        <v>#N/A</v>
      </c>
      <c r="BG26" s="28" t="e">
        <f t="shared" si="33"/>
        <v>#N/A</v>
      </c>
      <c r="BH26" s="28" t="e">
        <f t="shared" si="34"/>
        <v>#N/A</v>
      </c>
      <c r="BI26" s="28" t="e">
        <f t="shared" si="35"/>
        <v>#N/A</v>
      </c>
    </row>
    <row r="27" spans="2:61" s="13" customFormat="1" ht="75" customHeight="1" x14ac:dyDescent="0.2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 t="e">
        <f t="shared" si="2"/>
        <v>#DIV/0!</v>
      </c>
      <c r="N27" s="17"/>
      <c r="O27" s="17"/>
      <c r="P27" s="17"/>
      <c r="Q27" s="17"/>
      <c r="R27" s="27"/>
      <c r="S27" s="27"/>
      <c r="U27" s="17">
        <f t="shared" si="3"/>
        <v>0</v>
      </c>
      <c r="V27" s="17" t="e">
        <f t="shared" si="4"/>
        <v>#DIV/0!</v>
      </c>
      <c r="W27" s="30" t="e">
        <f t="shared" si="5"/>
        <v>#DIV/0!</v>
      </c>
      <c r="X27" s="17" t="e">
        <f t="shared" si="6"/>
        <v>#N/A</v>
      </c>
      <c r="Y27" s="17" t="e">
        <f t="shared" si="7"/>
        <v>#N/A</v>
      </c>
      <c r="Z27" s="17" t="e">
        <f t="shared" si="8"/>
        <v>#N/A</v>
      </c>
      <c r="AA27" s="43" t="e">
        <f t="shared" si="36"/>
        <v>#DIV/0!</v>
      </c>
      <c r="AG27" s="31">
        <f t="shared" si="9"/>
        <v>0</v>
      </c>
      <c r="AH27" s="31">
        <f t="shared" si="10"/>
        <v>0</v>
      </c>
      <c r="AI27" s="28" t="e">
        <f t="shared" si="11"/>
        <v>#N/A</v>
      </c>
      <c r="AJ27" s="28" t="e">
        <f t="shared" si="12"/>
        <v>#N/A</v>
      </c>
      <c r="AK27" s="28" t="e">
        <f t="shared" si="13"/>
        <v>#N/A</v>
      </c>
      <c r="AL27" s="28" t="e">
        <f t="shared" si="14"/>
        <v>#N/A</v>
      </c>
      <c r="AM27" s="28" t="e">
        <f t="shared" si="15"/>
        <v>#N/A</v>
      </c>
      <c r="AN27" s="28" t="e">
        <f t="shared" si="16"/>
        <v>#N/A</v>
      </c>
      <c r="AO27" s="28" t="e">
        <f t="shared" si="17"/>
        <v>#N/A</v>
      </c>
      <c r="AP27" s="28" t="e">
        <f t="shared" si="18"/>
        <v>#N/A</v>
      </c>
      <c r="AQ27" s="28" t="e">
        <f t="shared" si="19"/>
        <v>#N/A</v>
      </c>
      <c r="AR27" s="28" t="e">
        <f t="shared" si="20"/>
        <v>#N/A</v>
      </c>
      <c r="AS27" s="28" t="e">
        <f t="shared" si="21"/>
        <v>#N/A</v>
      </c>
      <c r="AT27" s="28" t="e">
        <f t="shared" si="22"/>
        <v>#N/A</v>
      </c>
      <c r="AU27" s="28"/>
      <c r="AV27" s="31">
        <f>IF(O27&gt;MAX($V$4:$AE$4),MAX($V$4:$AE$4)-0.1,IF(O27&lt;MIN($V$4:$AE9),MIN($V$4:$AE$4)+0.1,O27))</f>
        <v>0</v>
      </c>
      <c r="AW27" s="31">
        <f t="shared" si="23"/>
        <v>0</v>
      </c>
      <c r="AX27" s="28" t="e">
        <f t="shared" si="24"/>
        <v>#N/A</v>
      </c>
      <c r="AY27" s="28" t="e">
        <f t="shared" si="25"/>
        <v>#N/A</v>
      </c>
      <c r="AZ27" s="28" t="e">
        <f t="shared" si="26"/>
        <v>#N/A</v>
      </c>
      <c r="BA27" s="28" t="e">
        <f t="shared" si="27"/>
        <v>#N/A</v>
      </c>
      <c r="BB27" s="28" t="e">
        <f t="shared" si="28"/>
        <v>#N/A</v>
      </c>
      <c r="BC27" s="28" t="e">
        <f t="shared" si="29"/>
        <v>#N/A</v>
      </c>
      <c r="BD27" s="28" t="e">
        <f t="shared" si="30"/>
        <v>#N/A</v>
      </c>
      <c r="BE27" s="28" t="e">
        <f t="shared" si="31"/>
        <v>#N/A</v>
      </c>
      <c r="BF27" s="28" t="e">
        <f t="shared" si="32"/>
        <v>#N/A</v>
      </c>
      <c r="BG27" s="28" t="e">
        <f t="shared" si="33"/>
        <v>#N/A</v>
      </c>
      <c r="BH27" s="28" t="e">
        <f t="shared" si="34"/>
        <v>#N/A</v>
      </c>
      <c r="BI27" s="28" t="e">
        <f t="shared" si="35"/>
        <v>#N/A</v>
      </c>
    </row>
    <row r="28" spans="2:61" s="13" customFormat="1" ht="75" customHeight="1" x14ac:dyDescent="0.2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 t="e">
        <f t="shared" si="2"/>
        <v>#DIV/0!</v>
      </c>
      <c r="N28" s="17"/>
      <c r="O28" s="17"/>
      <c r="P28" s="17"/>
      <c r="Q28" s="17"/>
      <c r="R28" s="27"/>
      <c r="S28" s="27"/>
      <c r="U28" s="17">
        <f t="shared" si="3"/>
        <v>0</v>
      </c>
      <c r="V28" s="17" t="e">
        <f t="shared" si="4"/>
        <v>#DIV/0!</v>
      </c>
      <c r="W28" s="30" t="e">
        <f t="shared" si="5"/>
        <v>#DIV/0!</v>
      </c>
      <c r="X28" s="17" t="e">
        <f t="shared" si="6"/>
        <v>#N/A</v>
      </c>
      <c r="Y28" s="17" t="e">
        <f t="shared" si="7"/>
        <v>#N/A</v>
      </c>
      <c r="Z28" s="17" t="e">
        <f t="shared" si="8"/>
        <v>#N/A</v>
      </c>
      <c r="AA28" s="43" t="e">
        <f t="shared" si="36"/>
        <v>#DIV/0!</v>
      </c>
      <c r="AG28" s="31">
        <f t="shared" si="9"/>
        <v>0</v>
      </c>
      <c r="AH28" s="31">
        <f t="shared" si="10"/>
        <v>0</v>
      </c>
      <c r="AI28" s="28" t="e">
        <f t="shared" si="11"/>
        <v>#N/A</v>
      </c>
      <c r="AJ28" s="28" t="e">
        <f t="shared" si="12"/>
        <v>#N/A</v>
      </c>
      <c r="AK28" s="28" t="e">
        <f t="shared" si="13"/>
        <v>#N/A</v>
      </c>
      <c r="AL28" s="28" t="e">
        <f t="shared" si="14"/>
        <v>#N/A</v>
      </c>
      <c r="AM28" s="28" t="e">
        <f t="shared" si="15"/>
        <v>#N/A</v>
      </c>
      <c r="AN28" s="28" t="e">
        <f t="shared" si="16"/>
        <v>#N/A</v>
      </c>
      <c r="AO28" s="28" t="e">
        <f t="shared" si="17"/>
        <v>#N/A</v>
      </c>
      <c r="AP28" s="28" t="e">
        <f t="shared" si="18"/>
        <v>#N/A</v>
      </c>
      <c r="AQ28" s="28" t="e">
        <f t="shared" si="19"/>
        <v>#N/A</v>
      </c>
      <c r="AR28" s="28" t="e">
        <f t="shared" si="20"/>
        <v>#N/A</v>
      </c>
      <c r="AS28" s="28" t="e">
        <f t="shared" si="21"/>
        <v>#N/A</v>
      </c>
      <c r="AT28" s="28" t="e">
        <f t="shared" si="22"/>
        <v>#N/A</v>
      </c>
      <c r="AU28" s="28"/>
      <c r="AV28" s="31">
        <f>IF(O28&gt;MAX($V$4:$AE$4),MAX($V$4:$AE$4)-0.1,IF(O28&lt;MIN($V$4:$AE10),MIN($V$4:$AE$4)+0.1,O28))</f>
        <v>0</v>
      </c>
      <c r="AW28" s="31">
        <f t="shared" si="23"/>
        <v>0</v>
      </c>
      <c r="AX28" s="28" t="e">
        <f t="shared" si="24"/>
        <v>#N/A</v>
      </c>
      <c r="AY28" s="28" t="e">
        <f t="shared" si="25"/>
        <v>#N/A</v>
      </c>
      <c r="AZ28" s="28" t="e">
        <f t="shared" si="26"/>
        <v>#N/A</v>
      </c>
      <c r="BA28" s="28" t="e">
        <f t="shared" si="27"/>
        <v>#N/A</v>
      </c>
      <c r="BB28" s="28" t="e">
        <f t="shared" si="28"/>
        <v>#N/A</v>
      </c>
      <c r="BC28" s="28" t="e">
        <f t="shared" si="29"/>
        <v>#N/A</v>
      </c>
      <c r="BD28" s="28" t="e">
        <f t="shared" si="30"/>
        <v>#N/A</v>
      </c>
      <c r="BE28" s="28" t="e">
        <f t="shared" si="31"/>
        <v>#N/A</v>
      </c>
      <c r="BF28" s="28" t="e">
        <f t="shared" si="32"/>
        <v>#N/A</v>
      </c>
      <c r="BG28" s="28" t="e">
        <f t="shared" si="33"/>
        <v>#N/A</v>
      </c>
      <c r="BH28" s="28" t="e">
        <f t="shared" si="34"/>
        <v>#N/A</v>
      </c>
      <c r="BI28" s="28" t="e">
        <f t="shared" si="35"/>
        <v>#N/A</v>
      </c>
    </row>
    <row r="29" spans="2:61" s="13" customFormat="1" ht="75" customHeight="1" x14ac:dyDescent="0.25"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 t="e">
        <f t="shared" si="2"/>
        <v>#DIV/0!</v>
      </c>
      <c r="N29" s="17"/>
      <c r="O29" s="17"/>
      <c r="P29" s="17"/>
      <c r="Q29" s="17"/>
      <c r="R29" s="27"/>
      <c r="S29" s="27"/>
      <c r="U29" s="17">
        <f t="shared" si="3"/>
        <v>0</v>
      </c>
      <c r="V29" s="17" t="e">
        <f t="shared" si="4"/>
        <v>#DIV/0!</v>
      </c>
      <c r="W29" s="30" t="e">
        <f t="shared" si="5"/>
        <v>#DIV/0!</v>
      </c>
      <c r="X29" s="17" t="e">
        <f t="shared" si="6"/>
        <v>#N/A</v>
      </c>
      <c r="Y29" s="17" t="e">
        <f t="shared" si="7"/>
        <v>#N/A</v>
      </c>
      <c r="Z29" s="17" t="e">
        <f t="shared" si="8"/>
        <v>#N/A</v>
      </c>
      <c r="AA29" s="43" t="e">
        <f t="shared" si="36"/>
        <v>#DIV/0!</v>
      </c>
      <c r="AG29" s="31">
        <f t="shared" si="9"/>
        <v>0</v>
      </c>
      <c r="AH29" s="31">
        <f t="shared" si="10"/>
        <v>0</v>
      </c>
      <c r="AI29" s="28" t="e">
        <f t="shared" si="11"/>
        <v>#N/A</v>
      </c>
      <c r="AJ29" s="28" t="e">
        <f t="shared" si="12"/>
        <v>#N/A</v>
      </c>
      <c r="AK29" s="28" t="e">
        <f t="shared" si="13"/>
        <v>#N/A</v>
      </c>
      <c r="AL29" s="28" t="e">
        <f t="shared" si="14"/>
        <v>#N/A</v>
      </c>
      <c r="AM29" s="28" t="e">
        <f t="shared" si="15"/>
        <v>#N/A</v>
      </c>
      <c r="AN29" s="28" t="e">
        <f t="shared" si="16"/>
        <v>#N/A</v>
      </c>
      <c r="AO29" s="28" t="e">
        <f t="shared" si="17"/>
        <v>#N/A</v>
      </c>
      <c r="AP29" s="28" t="e">
        <f t="shared" si="18"/>
        <v>#N/A</v>
      </c>
      <c r="AQ29" s="28" t="e">
        <f t="shared" si="19"/>
        <v>#N/A</v>
      </c>
      <c r="AR29" s="28" t="e">
        <f t="shared" si="20"/>
        <v>#N/A</v>
      </c>
      <c r="AS29" s="28" t="e">
        <f t="shared" si="21"/>
        <v>#N/A</v>
      </c>
      <c r="AT29" s="28" t="e">
        <f t="shared" si="22"/>
        <v>#N/A</v>
      </c>
      <c r="AU29" s="28"/>
      <c r="AV29" s="31">
        <f>IF(O29&gt;MAX($V$4:$AE$4),MAX($V$4:$AE$4)-0.1,IF(O29&lt;MIN($V$4:$AE11),MIN($V$4:$AE$4)+0.1,O29))</f>
        <v>0</v>
      </c>
      <c r="AW29" s="31">
        <f t="shared" si="23"/>
        <v>0</v>
      </c>
      <c r="AX29" s="28" t="e">
        <f t="shared" si="24"/>
        <v>#N/A</v>
      </c>
      <c r="AY29" s="28" t="e">
        <f t="shared" si="25"/>
        <v>#N/A</v>
      </c>
      <c r="AZ29" s="28" t="e">
        <f t="shared" si="26"/>
        <v>#N/A</v>
      </c>
      <c r="BA29" s="28" t="e">
        <f t="shared" si="27"/>
        <v>#N/A</v>
      </c>
      <c r="BB29" s="28" t="e">
        <f t="shared" si="28"/>
        <v>#N/A</v>
      </c>
      <c r="BC29" s="28" t="e">
        <f t="shared" si="29"/>
        <v>#N/A</v>
      </c>
      <c r="BD29" s="28" t="e">
        <f t="shared" si="30"/>
        <v>#N/A</v>
      </c>
      <c r="BE29" s="28" t="e">
        <f t="shared" si="31"/>
        <v>#N/A</v>
      </c>
      <c r="BF29" s="28" t="e">
        <f t="shared" si="32"/>
        <v>#N/A</v>
      </c>
      <c r="BG29" s="28" t="e">
        <f t="shared" si="33"/>
        <v>#N/A</v>
      </c>
      <c r="BH29" s="28" t="e">
        <f t="shared" si="34"/>
        <v>#N/A</v>
      </c>
      <c r="BI29" s="28" t="e">
        <f t="shared" si="35"/>
        <v>#N/A</v>
      </c>
    </row>
    <row r="30" spans="2:61" s="13" customFormat="1" ht="75" customHeight="1" x14ac:dyDescent="0.25"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 t="e">
        <f t="shared" si="2"/>
        <v>#DIV/0!</v>
      </c>
      <c r="N30" s="17"/>
      <c r="O30" s="17"/>
      <c r="P30" s="17"/>
      <c r="Q30" s="17"/>
      <c r="R30" s="27"/>
      <c r="S30" s="27"/>
      <c r="U30" s="17">
        <f t="shared" si="3"/>
        <v>0</v>
      </c>
      <c r="V30" s="17" t="e">
        <f t="shared" si="4"/>
        <v>#DIV/0!</v>
      </c>
      <c r="W30" s="30" t="e">
        <f t="shared" si="5"/>
        <v>#DIV/0!</v>
      </c>
      <c r="X30" s="17" t="e">
        <f t="shared" si="6"/>
        <v>#N/A</v>
      </c>
      <c r="Y30" s="17" t="e">
        <f t="shared" si="7"/>
        <v>#N/A</v>
      </c>
      <c r="Z30" s="17" t="e">
        <f t="shared" si="8"/>
        <v>#N/A</v>
      </c>
      <c r="AA30" s="43" t="e">
        <f t="shared" si="36"/>
        <v>#DIV/0!</v>
      </c>
      <c r="AG30" s="31">
        <f t="shared" si="9"/>
        <v>0</v>
      </c>
      <c r="AH30" s="31">
        <f t="shared" si="10"/>
        <v>0</v>
      </c>
      <c r="AI30" s="28" t="e">
        <f t="shared" si="11"/>
        <v>#N/A</v>
      </c>
      <c r="AJ30" s="28" t="e">
        <f t="shared" si="12"/>
        <v>#N/A</v>
      </c>
      <c r="AK30" s="28" t="e">
        <f t="shared" si="13"/>
        <v>#N/A</v>
      </c>
      <c r="AL30" s="28" t="e">
        <f t="shared" si="14"/>
        <v>#N/A</v>
      </c>
      <c r="AM30" s="28" t="e">
        <f t="shared" si="15"/>
        <v>#N/A</v>
      </c>
      <c r="AN30" s="28" t="e">
        <f t="shared" si="16"/>
        <v>#N/A</v>
      </c>
      <c r="AO30" s="28" t="e">
        <f t="shared" si="17"/>
        <v>#N/A</v>
      </c>
      <c r="AP30" s="28" t="e">
        <f t="shared" si="18"/>
        <v>#N/A</v>
      </c>
      <c r="AQ30" s="28" t="e">
        <f t="shared" si="19"/>
        <v>#N/A</v>
      </c>
      <c r="AR30" s="28" t="e">
        <f t="shared" si="20"/>
        <v>#N/A</v>
      </c>
      <c r="AS30" s="28" t="e">
        <f t="shared" si="21"/>
        <v>#N/A</v>
      </c>
      <c r="AT30" s="28" t="e">
        <f t="shared" si="22"/>
        <v>#N/A</v>
      </c>
      <c r="AU30" s="28"/>
      <c r="AV30" s="31">
        <f>IF(O30&gt;MAX($V$4:$AE$4),MAX($V$4:$AE$4)-0.1,IF(O30&lt;MIN($V$4:$AE12),MIN($V$4:$AE$4)+0.1,O30))</f>
        <v>0</v>
      </c>
      <c r="AW30" s="31">
        <f t="shared" si="23"/>
        <v>0</v>
      </c>
      <c r="AX30" s="28" t="e">
        <f t="shared" si="24"/>
        <v>#N/A</v>
      </c>
      <c r="AY30" s="28" t="e">
        <f t="shared" si="25"/>
        <v>#N/A</v>
      </c>
      <c r="AZ30" s="28" t="e">
        <f t="shared" si="26"/>
        <v>#N/A</v>
      </c>
      <c r="BA30" s="28" t="e">
        <f t="shared" si="27"/>
        <v>#N/A</v>
      </c>
      <c r="BB30" s="28" t="e">
        <f t="shared" si="28"/>
        <v>#N/A</v>
      </c>
      <c r="BC30" s="28" t="e">
        <f t="shared" si="29"/>
        <v>#N/A</v>
      </c>
      <c r="BD30" s="28" t="e">
        <f t="shared" si="30"/>
        <v>#N/A</v>
      </c>
      <c r="BE30" s="28" t="e">
        <f t="shared" si="31"/>
        <v>#N/A</v>
      </c>
      <c r="BF30" s="28" t="e">
        <f t="shared" si="32"/>
        <v>#N/A</v>
      </c>
      <c r="BG30" s="28" t="e">
        <f t="shared" si="33"/>
        <v>#N/A</v>
      </c>
      <c r="BH30" s="28" t="e">
        <f t="shared" si="34"/>
        <v>#N/A</v>
      </c>
      <c r="BI30" s="28" t="e">
        <f t="shared" si="35"/>
        <v>#N/A</v>
      </c>
    </row>
    <row r="31" spans="2:61" s="16" customFormat="1" ht="75" customHeight="1" x14ac:dyDescent="0.25">
      <c r="B31" s="17"/>
      <c r="C31" s="17"/>
      <c r="D31" s="17"/>
      <c r="E31" s="41"/>
      <c r="F31" s="17"/>
      <c r="G31" s="17"/>
      <c r="H31" s="17"/>
      <c r="I31" s="17"/>
      <c r="J31" s="17"/>
      <c r="K31" s="17"/>
      <c r="L31" s="17"/>
      <c r="M31" s="17" t="e">
        <f t="shared" si="2"/>
        <v>#DIV/0!</v>
      </c>
      <c r="N31" s="17"/>
      <c r="O31" s="17"/>
      <c r="P31" s="17"/>
      <c r="Q31" s="17"/>
      <c r="R31" s="27"/>
      <c r="S31" s="27"/>
      <c r="U31" s="17">
        <f t="shared" si="3"/>
        <v>0</v>
      </c>
      <c r="V31" s="17" t="e">
        <f t="shared" si="4"/>
        <v>#DIV/0!</v>
      </c>
      <c r="W31" s="30" t="e">
        <f t="shared" si="5"/>
        <v>#DIV/0!</v>
      </c>
      <c r="X31" s="17" t="e">
        <f t="shared" si="6"/>
        <v>#N/A</v>
      </c>
      <c r="Y31" s="17" t="e">
        <f t="shared" si="7"/>
        <v>#N/A</v>
      </c>
      <c r="Z31" s="17" t="e">
        <f t="shared" si="8"/>
        <v>#N/A</v>
      </c>
      <c r="AA31" s="43" t="e">
        <f t="shared" si="36"/>
        <v>#DIV/0!</v>
      </c>
      <c r="AG31" s="31">
        <f t="shared" si="9"/>
        <v>0</v>
      </c>
      <c r="AH31" s="31">
        <f t="shared" si="10"/>
        <v>0</v>
      </c>
      <c r="AI31" s="28" t="e">
        <f t="shared" si="11"/>
        <v>#N/A</v>
      </c>
      <c r="AJ31" s="28" t="e">
        <f t="shared" si="12"/>
        <v>#N/A</v>
      </c>
      <c r="AK31" s="28" t="e">
        <f t="shared" si="13"/>
        <v>#N/A</v>
      </c>
      <c r="AL31" s="28" t="e">
        <f t="shared" si="14"/>
        <v>#N/A</v>
      </c>
      <c r="AM31" s="28" t="e">
        <f t="shared" si="15"/>
        <v>#N/A</v>
      </c>
      <c r="AN31" s="28" t="e">
        <f t="shared" si="16"/>
        <v>#N/A</v>
      </c>
      <c r="AO31" s="28" t="e">
        <f t="shared" si="17"/>
        <v>#N/A</v>
      </c>
      <c r="AP31" s="28" t="e">
        <f t="shared" si="18"/>
        <v>#N/A</v>
      </c>
      <c r="AQ31" s="28" t="e">
        <f t="shared" si="19"/>
        <v>#N/A</v>
      </c>
      <c r="AR31" s="28" t="e">
        <f t="shared" si="20"/>
        <v>#N/A</v>
      </c>
      <c r="AS31" s="28" t="e">
        <f t="shared" si="21"/>
        <v>#N/A</v>
      </c>
      <c r="AT31" s="28" t="e">
        <f t="shared" si="22"/>
        <v>#N/A</v>
      </c>
      <c r="AU31" s="32"/>
      <c r="AV31" s="31">
        <f>IF(O31&gt;MAX($V$4:$AE$4),MAX($V$4:$AE$4)-0.1,IF(O31&lt;MIN($V$4:$AE13),MIN($V$4:$AE$4)+0.1,O31))</f>
        <v>0</v>
      </c>
      <c r="AW31" s="31">
        <f t="shared" si="23"/>
        <v>0</v>
      </c>
      <c r="AX31" s="28" t="e">
        <f t="shared" si="24"/>
        <v>#N/A</v>
      </c>
      <c r="AY31" s="28" t="e">
        <f t="shared" si="25"/>
        <v>#N/A</v>
      </c>
      <c r="AZ31" s="28" t="e">
        <f t="shared" si="26"/>
        <v>#N/A</v>
      </c>
      <c r="BA31" s="28" t="e">
        <f t="shared" si="27"/>
        <v>#N/A</v>
      </c>
      <c r="BB31" s="28" t="e">
        <f t="shared" si="28"/>
        <v>#N/A</v>
      </c>
      <c r="BC31" s="28" t="e">
        <f t="shared" si="29"/>
        <v>#N/A</v>
      </c>
      <c r="BD31" s="28" t="e">
        <f t="shared" si="30"/>
        <v>#N/A</v>
      </c>
      <c r="BE31" s="28" t="e">
        <f t="shared" si="31"/>
        <v>#N/A</v>
      </c>
      <c r="BF31" s="28" t="e">
        <f t="shared" si="32"/>
        <v>#N/A</v>
      </c>
      <c r="BG31" s="28" t="e">
        <f t="shared" si="33"/>
        <v>#N/A</v>
      </c>
      <c r="BH31" s="28" t="e">
        <f t="shared" si="34"/>
        <v>#N/A</v>
      </c>
      <c r="BI31" s="28" t="e">
        <f t="shared" si="35"/>
        <v>#N/A</v>
      </c>
    </row>
    <row r="32" spans="2:61" s="16" customFormat="1" ht="75" customHeight="1" x14ac:dyDescent="0.25">
      <c r="B32" s="17"/>
      <c r="C32" s="17"/>
      <c r="D32" s="17"/>
      <c r="E32" s="41"/>
      <c r="F32" s="17"/>
      <c r="G32" s="17"/>
      <c r="H32" s="17"/>
      <c r="I32" s="17"/>
      <c r="J32" s="17"/>
      <c r="K32" s="17"/>
      <c r="L32" s="17"/>
      <c r="M32" s="17" t="e">
        <f t="shared" si="2"/>
        <v>#DIV/0!</v>
      </c>
      <c r="N32" s="17"/>
      <c r="O32" s="17"/>
      <c r="P32" s="17"/>
      <c r="Q32" s="17"/>
      <c r="R32" s="27"/>
      <c r="S32" s="27"/>
      <c r="U32" s="17">
        <f t="shared" si="3"/>
        <v>0</v>
      </c>
      <c r="V32" s="17" t="e">
        <f t="shared" si="4"/>
        <v>#DIV/0!</v>
      </c>
      <c r="W32" s="30" t="e">
        <f t="shared" si="5"/>
        <v>#DIV/0!</v>
      </c>
      <c r="X32" s="17" t="e">
        <f t="shared" si="6"/>
        <v>#N/A</v>
      </c>
      <c r="Y32" s="17" t="e">
        <f t="shared" si="7"/>
        <v>#N/A</v>
      </c>
      <c r="Z32" s="17" t="e">
        <f t="shared" si="8"/>
        <v>#N/A</v>
      </c>
      <c r="AA32" s="43" t="e">
        <f t="shared" si="36"/>
        <v>#DIV/0!</v>
      </c>
      <c r="AG32" s="31">
        <f t="shared" si="9"/>
        <v>0</v>
      </c>
      <c r="AH32" s="31">
        <f t="shared" si="10"/>
        <v>0</v>
      </c>
      <c r="AI32" s="28" t="e">
        <f t="shared" si="11"/>
        <v>#N/A</v>
      </c>
      <c r="AJ32" s="28" t="e">
        <f t="shared" si="12"/>
        <v>#N/A</v>
      </c>
      <c r="AK32" s="28" t="e">
        <f t="shared" si="13"/>
        <v>#N/A</v>
      </c>
      <c r="AL32" s="28" t="e">
        <f t="shared" si="14"/>
        <v>#N/A</v>
      </c>
      <c r="AM32" s="28" t="e">
        <f t="shared" si="15"/>
        <v>#N/A</v>
      </c>
      <c r="AN32" s="28" t="e">
        <f t="shared" si="16"/>
        <v>#N/A</v>
      </c>
      <c r="AO32" s="28" t="e">
        <f t="shared" si="17"/>
        <v>#N/A</v>
      </c>
      <c r="AP32" s="28" t="e">
        <f t="shared" si="18"/>
        <v>#N/A</v>
      </c>
      <c r="AQ32" s="28" t="e">
        <f t="shared" si="19"/>
        <v>#N/A</v>
      </c>
      <c r="AR32" s="28" t="e">
        <f t="shared" si="20"/>
        <v>#N/A</v>
      </c>
      <c r="AS32" s="28" t="e">
        <f t="shared" si="21"/>
        <v>#N/A</v>
      </c>
      <c r="AT32" s="28" t="e">
        <f t="shared" si="22"/>
        <v>#N/A</v>
      </c>
      <c r="AU32" s="32"/>
      <c r="AV32" s="31">
        <f>IF(O32&gt;MAX($V$4:$AE$4),MAX($V$4:$AE$4)-0.1,IF(O32&lt;MIN($V$4:$AE14),MIN($V$4:$AE$4)+0.1,O32))</f>
        <v>0</v>
      </c>
      <c r="AW32" s="31">
        <f t="shared" si="23"/>
        <v>0</v>
      </c>
      <c r="AX32" s="28" t="e">
        <f t="shared" si="24"/>
        <v>#N/A</v>
      </c>
      <c r="AY32" s="28" t="e">
        <f t="shared" si="25"/>
        <v>#N/A</v>
      </c>
      <c r="AZ32" s="28" t="e">
        <f t="shared" si="26"/>
        <v>#N/A</v>
      </c>
      <c r="BA32" s="28" t="e">
        <f t="shared" si="27"/>
        <v>#N/A</v>
      </c>
      <c r="BB32" s="28" t="e">
        <f t="shared" si="28"/>
        <v>#N/A</v>
      </c>
      <c r="BC32" s="28" t="e">
        <f t="shared" si="29"/>
        <v>#N/A</v>
      </c>
      <c r="BD32" s="28" t="e">
        <f t="shared" si="30"/>
        <v>#N/A</v>
      </c>
      <c r="BE32" s="28" t="e">
        <f t="shared" si="31"/>
        <v>#N/A</v>
      </c>
      <c r="BF32" s="28" t="e">
        <f t="shared" si="32"/>
        <v>#N/A</v>
      </c>
      <c r="BG32" s="28" t="e">
        <f t="shared" si="33"/>
        <v>#N/A</v>
      </c>
      <c r="BH32" s="28" t="e">
        <f t="shared" si="34"/>
        <v>#N/A</v>
      </c>
      <c r="BI32" s="28" t="e">
        <f t="shared" si="35"/>
        <v>#N/A</v>
      </c>
    </row>
    <row r="33" spans="2:61" s="16" customFormat="1" ht="75" customHeight="1" x14ac:dyDescent="0.25">
      <c r="B33" s="17"/>
      <c r="C33" s="17"/>
      <c r="D33" s="17"/>
      <c r="E33" s="41"/>
      <c r="F33" s="17"/>
      <c r="G33" s="17"/>
      <c r="H33" s="17"/>
      <c r="I33" s="17"/>
      <c r="J33" s="17"/>
      <c r="K33" s="17"/>
      <c r="L33" s="17"/>
      <c r="M33" s="17" t="e">
        <f t="shared" si="2"/>
        <v>#DIV/0!</v>
      </c>
      <c r="N33" s="17"/>
      <c r="O33" s="17"/>
      <c r="P33" s="17"/>
      <c r="Q33" s="17"/>
      <c r="R33" s="27"/>
      <c r="S33" s="27"/>
      <c r="U33" s="17">
        <f t="shared" si="3"/>
        <v>0</v>
      </c>
      <c r="V33" s="17" t="e">
        <f t="shared" si="4"/>
        <v>#DIV/0!</v>
      </c>
      <c r="W33" s="30" t="e">
        <f t="shared" si="5"/>
        <v>#DIV/0!</v>
      </c>
      <c r="X33" s="17" t="e">
        <f t="shared" si="6"/>
        <v>#N/A</v>
      </c>
      <c r="Y33" s="17" t="e">
        <f t="shared" si="7"/>
        <v>#N/A</v>
      </c>
      <c r="Z33" s="17" t="e">
        <f t="shared" si="8"/>
        <v>#N/A</v>
      </c>
      <c r="AA33" s="43" t="e">
        <f t="shared" si="36"/>
        <v>#DIV/0!</v>
      </c>
      <c r="AG33" s="31">
        <f t="shared" si="9"/>
        <v>0</v>
      </c>
      <c r="AH33" s="31">
        <f t="shared" si="10"/>
        <v>0</v>
      </c>
      <c r="AI33" s="28" t="e">
        <f t="shared" si="11"/>
        <v>#N/A</v>
      </c>
      <c r="AJ33" s="28" t="e">
        <f t="shared" si="12"/>
        <v>#N/A</v>
      </c>
      <c r="AK33" s="28" t="e">
        <f t="shared" si="13"/>
        <v>#N/A</v>
      </c>
      <c r="AL33" s="28" t="e">
        <f t="shared" si="14"/>
        <v>#N/A</v>
      </c>
      <c r="AM33" s="28" t="e">
        <f t="shared" si="15"/>
        <v>#N/A</v>
      </c>
      <c r="AN33" s="28" t="e">
        <f t="shared" si="16"/>
        <v>#N/A</v>
      </c>
      <c r="AO33" s="28" t="e">
        <f t="shared" si="17"/>
        <v>#N/A</v>
      </c>
      <c r="AP33" s="28" t="e">
        <f t="shared" si="18"/>
        <v>#N/A</v>
      </c>
      <c r="AQ33" s="28" t="e">
        <f t="shared" si="19"/>
        <v>#N/A</v>
      </c>
      <c r="AR33" s="28" t="e">
        <f t="shared" si="20"/>
        <v>#N/A</v>
      </c>
      <c r="AS33" s="28" t="e">
        <f t="shared" si="21"/>
        <v>#N/A</v>
      </c>
      <c r="AT33" s="28" t="e">
        <f t="shared" si="22"/>
        <v>#N/A</v>
      </c>
      <c r="AU33" s="32"/>
      <c r="AV33" s="31">
        <f>IF(O33&gt;MAX($V$4:$AE$4),MAX($V$4:$AE$4)-0.1,IF(O33&lt;MIN($V$4:$AE15),MIN($V$4:$AE$4)+0.1,O33))</f>
        <v>0</v>
      </c>
      <c r="AW33" s="31">
        <f t="shared" si="23"/>
        <v>0</v>
      </c>
      <c r="AX33" s="28" t="e">
        <f t="shared" si="24"/>
        <v>#N/A</v>
      </c>
      <c r="AY33" s="28" t="e">
        <f t="shared" si="25"/>
        <v>#N/A</v>
      </c>
      <c r="AZ33" s="28" t="e">
        <f t="shared" si="26"/>
        <v>#N/A</v>
      </c>
      <c r="BA33" s="28" t="e">
        <f t="shared" si="27"/>
        <v>#N/A</v>
      </c>
      <c r="BB33" s="28" t="e">
        <f t="shared" si="28"/>
        <v>#N/A</v>
      </c>
      <c r="BC33" s="28" t="e">
        <f t="shared" si="29"/>
        <v>#N/A</v>
      </c>
      <c r="BD33" s="28" t="e">
        <f t="shared" si="30"/>
        <v>#N/A</v>
      </c>
      <c r="BE33" s="28" t="e">
        <f t="shared" si="31"/>
        <v>#N/A</v>
      </c>
      <c r="BF33" s="28" t="e">
        <f t="shared" si="32"/>
        <v>#N/A</v>
      </c>
      <c r="BG33" s="28" t="e">
        <f t="shared" si="33"/>
        <v>#N/A</v>
      </c>
      <c r="BH33" s="28" t="e">
        <f t="shared" si="34"/>
        <v>#N/A</v>
      </c>
      <c r="BI33" s="28" t="e">
        <f t="shared" si="35"/>
        <v>#N/A</v>
      </c>
    </row>
    <row r="34" spans="2:61" s="16" customFormat="1" ht="75" customHeight="1" x14ac:dyDescent="0.25">
      <c r="B34" s="17"/>
      <c r="C34" s="17"/>
      <c r="D34" s="17"/>
      <c r="E34" s="41"/>
      <c r="F34" s="17"/>
      <c r="G34" s="17"/>
      <c r="H34" s="17"/>
      <c r="I34" s="17"/>
      <c r="J34" s="17"/>
      <c r="K34" s="17"/>
      <c r="L34" s="17"/>
      <c r="M34" s="17" t="e">
        <f t="shared" si="2"/>
        <v>#DIV/0!</v>
      </c>
      <c r="N34" s="17"/>
      <c r="O34" s="17"/>
      <c r="P34" s="17"/>
      <c r="Q34" s="17"/>
      <c r="R34" s="27"/>
      <c r="S34" s="27"/>
      <c r="U34" s="17">
        <f t="shared" si="3"/>
        <v>0</v>
      </c>
      <c r="V34" s="17" t="e">
        <f t="shared" si="4"/>
        <v>#DIV/0!</v>
      </c>
      <c r="W34" s="30" t="e">
        <f t="shared" si="5"/>
        <v>#DIV/0!</v>
      </c>
      <c r="X34" s="17" t="e">
        <f t="shared" si="6"/>
        <v>#N/A</v>
      </c>
      <c r="Y34" s="17" t="e">
        <f t="shared" si="7"/>
        <v>#N/A</v>
      </c>
      <c r="Z34" s="17" t="e">
        <f t="shared" si="8"/>
        <v>#N/A</v>
      </c>
      <c r="AA34" s="43" t="e">
        <f t="shared" si="36"/>
        <v>#DIV/0!</v>
      </c>
      <c r="AG34" s="31">
        <f t="shared" si="9"/>
        <v>0</v>
      </c>
      <c r="AH34" s="31">
        <f t="shared" si="10"/>
        <v>0</v>
      </c>
      <c r="AI34" s="28" t="e">
        <f t="shared" si="11"/>
        <v>#N/A</v>
      </c>
      <c r="AJ34" s="28" t="e">
        <f t="shared" si="12"/>
        <v>#N/A</v>
      </c>
      <c r="AK34" s="28" t="e">
        <f t="shared" si="13"/>
        <v>#N/A</v>
      </c>
      <c r="AL34" s="28" t="e">
        <f t="shared" si="14"/>
        <v>#N/A</v>
      </c>
      <c r="AM34" s="28" t="e">
        <f t="shared" si="15"/>
        <v>#N/A</v>
      </c>
      <c r="AN34" s="28" t="e">
        <f t="shared" si="16"/>
        <v>#N/A</v>
      </c>
      <c r="AO34" s="28" t="e">
        <f t="shared" si="17"/>
        <v>#N/A</v>
      </c>
      <c r="AP34" s="28" t="e">
        <f t="shared" si="18"/>
        <v>#N/A</v>
      </c>
      <c r="AQ34" s="28" t="e">
        <f t="shared" si="19"/>
        <v>#N/A</v>
      </c>
      <c r="AR34" s="28" t="e">
        <f t="shared" si="20"/>
        <v>#N/A</v>
      </c>
      <c r="AS34" s="28" t="e">
        <f t="shared" si="21"/>
        <v>#N/A</v>
      </c>
      <c r="AT34" s="28" t="e">
        <f t="shared" si="22"/>
        <v>#N/A</v>
      </c>
      <c r="AU34" s="32"/>
      <c r="AV34" s="31">
        <f>IF(O34&gt;MAX($V$4:$AE$4),MAX($V$4:$AE$4)-0.1,IF(O34&lt;MIN($V$4:$AE16),MIN($V$4:$AE$4)+0.1,O34))</f>
        <v>0</v>
      </c>
      <c r="AW34" s="31">
        <f t="shared" si="23"/>
        <v>0</v>
      </c>
      <c r="AX34" s="28" t="e">
        <f t="shared" si="24"/>
        <v>#N/A</v>
      </c>
      <c r="AY34" s="28" t="e">
        <f t="shared" si="25"/>
        <v>#N/A</v>
      </c>
      <c r="AZ34" s="28" t="e">
        <f t="shared" si="26"/>
        <v>#N/A</v>
      </c>
      <c r="BA34" s="28" t="e">
        <f t="shared" si="27"/>
        <v>#N/A</v>
      </c>
      <c r="BB34" s="28" t="e">
        <f t="shared" si="28"/>
        <v>#N/A</v>
      </c>
      <c r="BC34" s="28" t="e">
        <f t="shared" si="29"/>
        <v>#N/A</v>
      </c>
      <c r="BD34" s="28" t="e">
        <f t="shared" si="30"/>
        <v>#N/A</v>
      </c>
      <c r="BE34" s="28" t="e">
        <f t="shared" si="31"/>
        <v>#N/A</v>
      </c>
      <c r="BF34" s="28" t="e">
        <f t="shared" si="32"/>
        <v>#N/A</v>
      </c>
      <c r="BG34" s="28" t="e">
        <f t="shared" si="33"/>
        <v>#N/A</v>
      </c>
      <c r="BH34" s="28" t="e">
        <f t="shared" si="34"/>
        <v>#N/A</v>
      </c>
      <c r="BI34" s="28" t="e">
        <f t="shared" si="35"/>
        <v>#N/A</v>
      </c>
    </row>
    <row r="35" spans="2:61" s="16" customFormat="1" ht="75" customHeight="1" x14ac:dyDescent="0.25">
      <c r="B35" s="17"/>
      <c r="C35" s="17"/>
      <c r="D35" s="17"/>
      <c r="E35" s="41"/>
      <c r="F35" s="17"/>
      <c r="G35" s="17"/>
      <c r="H35" s="17"/>
      <c r="I35" s="17"/>
      <c r="J35" s="17"/>
      <c r="K35" s="17"/>
      <c r="L35" s="17"/>
      <c r="M35" s="17" t="e">
        <f t="shared" si="2"/>
        <v>#DIV/0!</v>
      </c>
      <c r="N35" s="17"/>
      <c r="O35" s="17"/>
      <c r="P35" s="17"/>
      <c r="Q35" s="17"/>
      <c r="R35" s="27"/>
      <c r="S35" s="27"/>
      <c r="U35" s="17">
        <f t="shared" si="3"/>
        <v>0</v>
      </c>
      <c r="V35" s="17" t="e">
        <f t="shared" si="4"/>
        <v>#DIV/0!</v>
      </c>
      <c r="W35" s="30" t="e">
        <f t="shared" si="5"/>
        <v>#DIV/0!</v>
      </c>
      <c r="X35" s="17" t="e">
        <f t="shared" si="6"/>
        <v>#N/A</v>
      </c>
      <c r="Y35" s="17" t="e">
        <f t="shared" si="7"/>
        <v>#N/A</v>
      </c>
      <c r="Z35" s="17" t="e">
        <f t="shared" si="8"/>
        <v>#N/A</v>
      </c>
      <c r="AA35" s="43" t="e">
        <f t="shared" si="36"/>
        <v>#DIV/0!</v>
      </c>
      <c r="AG35" s="31">
        <f t="shared" si="9"/>
        <v>0</v>
      </c>
      <c r="AH35" s="31">
        <f t="shared" si="10"/>
        <v>0</v>
      </c>
      <c r="AI35" s="28" t="e">
        <f t="shared" si="11"/>
        <v>#N/A</v>
      </c>
      <c r="AJ35" s="28" t="e">
        <f t="shared" si="12"/>
        <v>#N/A</v>
      </c>
      <c r="AK35" s="28" t="e">
        <f t="shared" si="13"/>
        <v>#N/A</v>
      </c>
      <c r="AL35" s="28" t="e">
        <f t="shared" si="14"/>
        <v>#N/A</v>
      </c>
      <c r="AM35" s="28" t="e">
        <f t="shared" si="15"/>
        <v>#N/A</v>
      </c>
      <c r="AN35" s="28" t="e">
        <f t="shared" si="16"/>
        <v>#N/A</v>
      </c>
      <c r="AO35" s="28" t="e">
        <f t="shared" si="17"/>
        <v>#N/A</v>
      </c>
      <c r="AP35" s="28" t="e">
        <f t="shared" si="18"/>
        <v>#N/A</v>
      </c>
      <c r="AQ35" s="28" t="e">
        <f t="shared" si="19"/>
        <v>#N/A</v>
      </c>
      <c r="AR35" s="28" t="e">
        <f t="shared" si="20"/>
        <v>#N/A</v>
      </c>
      <c r="AS35" s="28" t="e">
        <f t="shared" si="21"/>
        <v>#N/A</v>
      </c>
      <c r="AT35" s="28" t="e">
        <f t="shared" si="22"/>
        <v>#N/A</v>
      </c>
      <c r="AU35" s="32"/>
      <c r="AV35" s="31">
        <f>IF(O35&gt;MAX($V$4:$AE$4),MAX($V$4:$AE$4)-0.1,IF(O35&lt;MIN($V$4:$AE17),MIN($V$4:$AE$4)+0.1,O35))</f>
        <v>0</v>
      </c>
      <c r="AW35" s="31">
        <f t="shared" si="23"/>
        <v>0</v>
      </c>
      <c r="AX35" s="28" t="e">
        <f t="shared" si="24"/>
        <v>#N/A</v>
      </c>
      <c r="AY35" s="28" t="e">
        <f t="shared" si="25"/>
        <v>#N/A</v>
      </c>
      <c r="AZ35" s="28" t="e">
        <f t="shared" si="26"/>
        <v>#N/A</v>
      </c>
      <c r="BA35" s="28" t="e">
        <f t="shared" si="27"/>
        <v>#N/A</v>
      </c>
      <c r="BB35" s="28" t="e">
        <f t="shared" si="28"/>
        <v>#N/A</v>
      </c>
      <c r="BC35" s="28" t="e">
        <f t="shared" si="29"/>
        <v>#N/A</v>
      </c>
      <c r="BD35" s="28" t="e">
        <f t="shared" si="30"/>
        <v>#N/A</v>
      </c>
      <c r="BE35" s="28" t="e">
        <f t="shared" si="31"/>
        <v>#N/A</v>
      </c>
      <c r="BF35" s="28" t="e">
        <f t="shared" si="32"/>
        <v>#N/A</v>
      </c>
      <c r="BG35" s="28" t="e">
        <f t="shared" si="33"/>
        <v>#N/A</v>
      </c>
      <c r="BH35" s="28" t="e">
        <f t="shared" si="34"/>
        <v>#N/A</v>
      </c>
      <c r="BI35" s="28" t="e">
        <f t="shared" si="35"/>
        <v>#N/A</v>
      </c>
    </row>
    <row r="36" spans="2:61" s="16" customFormat="1" ht="75" customHeight="1" x14ac:dyDescent="0.25">
      <c r="B36" s="17"/>
      <c r="C36" s="17"/>
      <c r="D36" s="17"/>
      <c r="E36" s="41"/>
      <c r="F36" s="17"/>
      <c r="G36" s="17"/>
      <c r="H36" s="17"/>
      <c r="I36" s="17"/>
      <c r="J36" s="17"/>
      <c r="K36" s="17"/>
      <c r="L36" s="17"/>
      <c r="M36" s="17" t="e">
        <f t="shared" si="2"/>
        <v>#DIV/0!</v>
      </c>
      <c r="N36" s="17"/>
      <c r="O36" s="17"/>
      <c r="P36" s="17"/>
      <c r="Q36" s="17"/>
      <c r="R36" s="27"/>
      <c r="S36" s="27"/>
      <c r="U36" s="17">
        <f t="shared" si="3"/>
        <v>0</v>
      </c>
      <c r="V36" s="17" t="e">
        <f t="shared" si="4"/>
        <v>#DIV/0!</v>
      </c>
      <c r="W36" s="30" t="e">
        <f t="shared" si="5"/>
        <v>#DIV/0!</v>
      </c>
      <c r="X36" s="17" t="e">
        <f t="shared" si="6"/>
        <v>#N/A</v>
      </c>
      <c r="Y36" s="17" t="e">
        <f t="shared" si="7"/>
        <v>#N/A</v>
      </c>
      <c r="Z36" s="17" t="e">
        <f t="shared" si="8"/>
        <v>#N/A</v>
      </c>
      <c r="AA36" s="43" t="e">
        <f t="shared" si="36"/>
        <v>#DIV/0!</v>
      </c>
      <c r="AG36" s="31">
        <f t="shared" si="9"/>
        <v>0</v>
      </c>
      <c r="AH36" s="31">
        <f t="shared" si="10"/>
        <v>0</v>
      </c>
      <c r="AI36" s="28" t="e">
        <f t="shared" si="11"/>
        <v>#N/A</v>
      </c>
      <c r="AJ36" s="28" t="e">
        <f t="shared" si="12"/>
        <v>#N/A</v>
      </c>
      <c r="AK36" s="28" t="e">
        <f t="shared" si="13"/>
        <v>#N/A</v>
      </c>
      <c r="AL36" s="28" t="e">
        <f t="shared" si="14"/>
        <v>#N/A</v>
      </c>
      <c r="AM36" s="28" t="e">
        <f t="shared" si="15"/>
        <v>#N/A</v>
      </c>
      <c r="AN36" s="28" t="e">
        <f t="shared" si="16"/>
        <v>#N/A</v>
      </c>
      <c r="AO36" s="28" t="e">
        <f t="shared" si="17"/>
        <v>#N/A</v>
      </c>
      <c r="AP36" s="28" t="e">
        <f t="shared" si="18"/>
        <v>#N/A</v>
      </c>
      <c r="AQ36" s="28" t="e">
        <f t="shared" si="19"/>
        <v>#N/A</v>
      </c>
      <c r="AR36" s="28" t="e">
        <f t="shared" si="20"/>
        <v>#N/A</v>
      </c>
      <c r="AS36" s="28" t="e">
        <f t="shared" si="21"/>
        <v>#N/A</v>
      </c>
      <c r="AT36" s="28" t="e">
        <f t="shared" si="22"/>
        <v>#N/A</v>
      </c>
      <c r="AU36" s="32"/>
      <c r="AV36" s="31">
        <f>IF(O36&gt;MAX($V$4:$AE$4),MAX($V$4:$AE$4)-0.1,IF(O36&lt;MIN($V$4:$AE18),MIN($V$4:$AE$4)+0.1,O36))</f>
        <v>0</v>
      </c>
      <c r="AW36" s="31">
        <f t="shared" si="23"/>
        <v>0</v>
      </c>
      <c r="AX36" s="28" t="e">
        <f t="shared" si="24"/>
        <v>#N/A</v>
      </c>
      <c r="AY36" s="28" t="e">
        <f t="shared" si="25"/>
        <v>#N/A</v>
      </c>
      <c r="AZ36" s="28" t="e">
        <f t="shared" si="26"/>
        <v>#N/A</v>
      </c>
      <c r="BA36" s="28" t="e">
        <f t="shared" si="27"/>
        <v>#N/A</v>
      </c>
      <c r="BB36" s="28" t="e">
        <f t="shared" si="28"/>
        <v>#N/A</v>
      </c>
      <c r="BC36" s="28" t="e">
        <f t="shared" si="29"/>
        <v>#N/A</v>
      </c>
      <c r="BD36" s="28" t="e">
        <f t="shared" si="30"/>
        <v>#N/A</v>
      </c>
      <c r="BE36" s="28" t="e">
        <f t="shared" si="31"/>
        <v>#N/A</v>
      </c>
      <c r="BF36" s="28" t="e">
        <f t="shared" si="32"/>
        <v>#N/A</v>
      </c>
      <c r="BG36" s="28" t="e">
        <f t="shared" si="33"/>
        <v>#N/A</v>
      </c>
      <c r="BH36" s="28" t="e">
        <f t="shared" si="34"/>
        <v>#N/A</v>
      </c>
      <c r="BI36" s="28" t="e">
        <f t="shared" si="35"/>
        <v>#N/A</v>
      </c>
    </row>
    <row r="37" spans="2:61" s="16" customFormat="1" ht="75" customHeight="1" x14ac:dyDescent="0.25">
      <c r="B37" s="17"/>
      <c r="C37" s="17"/>
      <c r="D37" s="17"/>
      <c r="E37" s="41"/>
      <c r="F37" s="17"/>
      <c r="G37" s="17"/>
      <c r="H37" s="17"/>
      <c r="I37" s="17"/>
      <c r="J37" s="17"/>
      <c r="K37" s="17"/>
      <c r="L37" s="17"/>
      <c r="M37" s="17" t="e">
        <f t="shared" si="2"/>
        <v>#DIV/0!</v>
      </c>
      <c r="N37" s="17"/>
      <c r="O37" s="17"/>
      <c r="P37" s="17"/>
      <c r="Q37" s="17"/>
      <c r="R37" s="27"/>
      <c r="S37" s="27"/>
      <c r="U37" s="17">
        <f t="shared" si="3"/>
        <v>0</v>
      </c>
      <c r="V37" s="17" t="e">
        <f t="shared" si="4"/>
        <v>#DIV/0!</v>
      </c>
      <c r="W37" s="30" t="e">
        <f t="shared" si="5"/>
        <v>#DIV/0!</v>
      </c>
      <c r="X37" s="17" t="e">
        <f t="shared" si="6"/>
        <v>#N/A</v>
      </c>
      <c r="Y37" s="17" t="e">
        <f t="shared" si="7"/>
        <v>#N/A</v>
      </c>
      <c r="Z37" s="17" t="e">
        <f t="shared" si="8"/>
        <v>#N/A</v>
      </c>
      <c r="AA37" s="43" t="e">
        <f t="shared" si="36"/>
        <v>#DIV/0!</v>
      </c>
      <c r="AG37" s="31">
        <f t="shared" si="9"/>
        <v>0</v>
      </c>
      <c r="AH37" s="31">
        <f t="shared" si="10"/>
        <v>0</v>
      </c>
      <c r="AI37" s="28" t="e">
        <f t="shared" si="11"/>
        <v>#N/A</v>
      </c>
      <c r="AJ37" s="28" t="e">
        <f t="shared" si="12"/>
        <v>#N/A</v>
      </c>
      <c r="AK37" s="28" t="e">
        <f t="shared" si="13"/>
        <v>#N/A</v>
      </c>
      <c r="AL37" s="28" t="e">
        <f t="shared" si="14"/>
        <v>#N/A</v>
      </c>
      <c r="AM37" s="28" t="e">
        <f t="shared" si="15"/>
        <v>#N/A</v>
      </c>
      <c r="AN37" s="28" t="e">
        <f t="shared" si="16"/>
        <v>#N/A</v>
      </c>
      <c r="AO37" s="28" t="e">
        <f t="shared" si="17"/>
        <v>#N/A</v>
      </c>
      <c r="AP37" s="28" t="e">
        <f t="shared" si="18"/>
        <v>#N/A</v>
      </c>
      <c r="AQ37" s="28" t="e">
        <f t="shared" si="19"/>
        <v>#N/A</v>
      </c>
      <c r="AR37" s="28" t="e">
        <f t="shared" si="20"/>
        <v>#N/A</v>
      </c>
      <c r="AS37" s="28" t="e">
        <f t="shared" si="21"/>
        <v>#N/A</v>
      </c>
      <c r="AT37" s="28" t="e">
        <f t="shared" si="22"/>
        <v>#N/A</v>
      </c>
      <c r="AU37" s="32"/>
      <c r="AV37" s="31">
        <f>IF(O37&gt;MAX($V$4:$AE$4),MAX($V$4:$AE$4)-0.1,IF(O37&lt;MIN($V$4:$AE19),MIN($V$4:$AE$4)+0.1,O37))</f>
        <v>0</v>
      </c>
      <c r="AW37" s="31">
        <f t="shared" si="23"/>
        <v>0</v>
      </c>
      <c r="AX37" s="28" t="e">
        <f t="shared" si="24"/>
        <v>#N/A</v>
      </c>
      <c r="AY37" s="28" t="e">
        <f t="shared" si="25"/>
        <v>#N/A</v>
      </c>
      <c r="AZ37" s="28" t="e">
        <f t="shared" si="26"/>
        <v>#N/A</v>
      </c>
      <c r="BA37" s="28" t="e">
        <f t="shared" si="27"/>
        <v>#N/A</v>
      </c>
      <c r="BB37" s="28" t="e">
        <f t="shared" si="28"/>
        <v>#N/A</v>
      </c>
      <c r="BC37" s="28" t="e">
        <f t="shared" si="29"/>
        <v>#N/A</v>
      </c>
      <c r="BD37" s="28" t="e">
        <f t="shared" si="30"/>
        <v>#N/A</v>
      </c>
      <c r="BE37" s="28" t="e">
        <f t="shared" si="31"/>
        <v>#N/A</v>
      </c>
      <c r="BF37" s="28" t="e">
        <f t="shared" si="32"/>
        <v>#N/A</v>
      </c>
      <c r="BG37" s="28" t="e">
        <f t="shared" si="33"/>
        <v>#N/A</v>
      </c>
      <c r="BH37" s="28" t="e">
        <f t="shared" si="34"/>
        <v>#N/A</v>
      </c>
      <c r="BI37" s="28" t="e">
        <f t="shared" si="35"/>
        <v>#N/A</v>
      </c>
    </row>
    <row r="38" spans="2:61" s="16" customFormat="1" ht="75" customHeight="1" x14ac:dyDescent="0.25">
      <c r="B38" s="17"/>
      <c r="C38" s="17"/>
      <c r="D38" s="17"/>
      <c r="E38" s="41"/>
      <c r="F38" s="17"/>
      <c r="G38" s="17"/>
      <c r="H38" s="17"/>
      <c r="I38" s="17"/>
      <c r="J38" s="17"/>
      <c r="K38" s="17"/>
      <c r="L38" s="17"/>
      <c r="M38" s="17" t="e">
        <f t="shared" si="2"/>
        <v>#DIV/0!</v>
      </c>
      <c r="N38" s="17"/>
      <c r="O38" s="17"/>
      <c r="P38" s="17"/>
      <c r="Q38" s="17"/>
      <c r="R38" s="27"/>
      <c r="S38" s="27"/>
      <c r="U38" s="17">
        <f t="shared" si="3"/>
        <v>0</v>
      </c>
      <c r="V38" s="17" t="e">
        <f t="shared" si="4"/>
        <v>#DIV/0!</v>
      </c>
      <c r="W38" s="30" t="e">
        <f t="shared" si="5"/>
        <v>#DIV/0!</v>
      </c>
      <c r="X38" s="17" t="e">
        <f t="shared" si="6"/>
        <v>#N/A</v>
      </c>
      <c r="Y38" s="17" t="e">
        <f t="shared" si="7"/>
        <v>#N/A</v>
      </c>
      <c r="Z38" s="17" t="e">
        <f t="shared" si="8"/>
        <v>#N/A</v>
      </c>
      <c r="AA38" s="43" t="e">
        <f t="shared" si="36"/>
        <v>#DIV/0!</v>
      </c>
      <c r="AG38" s="31">
        <f t="shared" si="9"/>
        <v>0</v>
      </c>
      <c r="AH38" s="31">
        <f t="shared" si="10"/>
        <v>0</v>
      </c>
      <c r="AI38" s="28" t="e">
        <f t="shared" si="11"/>
        <v>#N/A</v>
      </c>
      <c r="AJ38" s="28" t="e">
        <f t="shared" si="12"/>
        <v>#N/A</v>
      </c>
      <c r="AK38" s="28" t="e">
        <f t="shared" si="13"/>
        <v>#N/A</v>
      </c>
      <c r="AL38" s="28" t="e">
        <f t="shared" si="14"/>
        <v>#N/A</v>
      </c>
      <c r="AM38" s="28" t="e">
        <f t="shared" si="15"/>
        <v>#N/A</v>
      </c>
      <c r="AN38" s="28" t="e">
        <f t="shared" si="16"/>
        <v>#N/A</v>
      </c>
      <c r="AO38" s="28" t="e">
        <f t="shared" si="17"/>
        <v>#N/A</v>
      </c>
      <c r="AP38" s="28" t="e">
        <f t="shared" si="18"/>
        <v>#N/A</v>
      </c>
      <c r="AQ38" s="28" t="e">
        <f t="shared" si="19"/>
        <v>#N/A</v>
      </c>
      <c r="AR38" s="28" t="e">
        <f t="shared" si="20"/>
        <v>#N/A</v>
      </c>
      <c r="AS38" s="28" t="e">
        <f t="shared" si="21"/>
        <v>#N/A</v>
      </c>
      <c r="AT38" s="28" t="e">
        <f t="shared" si="22"/>
        <v>#N/A</v>
      </c>
      <c r="AU38" s="32"/>
      <c r="AV38" s="31">
        <f>IF(O38&gt;MAX($V$4:$AE$4),MAX($V$4:$AE$4)-0.1,IF(O38&lt;MIN($V$4:$AE20),MIN($V$4:$AE$4)+0.1,O38))</f>
        <v>0</v>
      </c>
      <c r="AW38" s="31">
        <f t="shared" si="23"/>
        <v>0</v>
      </c>
      <c r="AX38" s="28" t="e">
        <f t="shared" si="24"/>
        <v>#N/A</v>
      </c>
      <c r="AY38" s="28" t="e">
        <f t="shared" si="25"/>
        <v>#N/A</v>
      </c>
      <c r="AZ38" s="28" t="e">
        <f t="shared" si="26"/>
        <v>#N/A</v>
      </c>
      <c r="BA38" s="28" t="e">
        <f t="shared" si="27"/>
        <v>#N/A</v>
      </c>
      <c r="BB38" s="28" t="e">
        <f t="shared" si="28"/>
        <v>#N/A</v>
      </c>
      <c r="BC38" s="28" t="e">
        <f t="shared" si="29"/>
        <v>#N/A</v>
      </c>
      <c r="BD38" s="28" t="e">
        <f t="shared" si="30"/>
        <v>#N/A</v>
      </c>
      <c r="BE38" s="28" t="e">
        <f t="shared" si="31"/>
        <v>#N/A</v>
      </c>
      <c r="BF38" s="28" t="e">
        <f t="shared" si="32"/>
        <v>#N/A</v>
      </c>
      <c r="BG38" s="28" t="e">
        <f t="shared" si="33"/>
        <v>#N/A</v>
      </c>
      <c r="BH38" s="28" t="e">
        <f t="shared" si="34"/>
        <v>#N/A</v>
      </c>
      <c r="BI38" s="28" t="e">
        <f t="shared" si="35"/>
        <v>#N/A</v>
      </c>
    </row>
    <row r="39" spans="2:61" s="16" customFormat="1" ht="75" customHeight="1" x14ac:dyDescent="0.25">
      <c r="B39" s="17"/>
      <c r="C39" s="17"/>
      <c r="D39" s="17"/>
      <c r="E39" s="41"/>
      <c r="F39" s="17"/>
      <c r="G39" s="17"/>
      <c r="H39" s="17"/>
      <c r="I39" s="17"/>
      <c r="J39" s="17"/>
      <c r="K39" s="17"/>
      <c r="L39" s="17"/>
      <c r="M39" s="17" t="e">
        <f t="shared" si="2"/>
        <v>#DIV/0!</v>
      </c>
      <c r="N39" s="17"/>
      <c r="O39" s="17"/>
      <c r="P39" s="17"/>
      <c r="Q39" s="17"/>
      <c r="R39" s="27"/>
      <c r="S39" s="27"/>
      <c r="U39" s="17">
        <f t="shared" si="3"/>
        <v>0</v>
      </c>
      <c r="V39" s="17" t="e">
        <f t="shared" si="4"/>
        <v>#DIV/0!</v>
      </c>
      <c r="W39" s="30" t="e">
        <f t="shared" si="5"/>
        <v>#DIV/0!</v>
      </c>
      <c r="X39" s="17" t="e">
        <f t="shared" si="6"/>
        <v>#N/A</v>
      </c>
      <c r="Y39" s="17" t="e">
        <f t="shared" si="7"/>
        <v>#N/A</v>
      </c>
      <c r="Z39" s="17" t="e">
        <f t="shared" si="8"/>
        <v>#N/A</v>
      </c>
      <c r="AA39" s="43" t="e">
        <f t="shared" si="36"/>
        <v>#DIV/0!</v>
      </c>
      <c r="AG39" s="31">
        <f t="shared" si="9"/>
        <v>0</v>
      </c>
      <c r="AH39" s="31">
        <f t="shared" si="10"/>
        <v>0</v>
      </c>
      <c r="AI39" s="28" t="e">
        <f t="shared" si="11"/>
        <v>#N/A</v>
      </c>
      <c r="AJ39" s="28" t="e">
        <f t="shared" si="12"/>
        <v>#N/A</v>
      </c>
      <c r="AK39" s="28" t="e">
        <f t="shared" si="13"/>
        <v>#N/A</v>
      </c>
      <c r="AL39" s="28" t="e">
        <f t="shared" si="14"/>
        <v>#N/A</v>
      </c>
      <c r="AM39" s="28" t="e">
        <f t="shared" si="15"/>
        <v>#N/A</v>
      </c>
      <c r="AN39" s="28" t="e">
        <f t="shared" si="16"/>
        <v>#N/A</v>
      </c>
      <c r="AO39" s="28" t="e">
        <f t="shared" si="17"/>
        <v>#N/A</v>
      </c>
      <c r="AP39" s="28" t="e">
        <f t="shared" si="18"/>
        <v>#N/A</v>
      </c>
      <c r="AQ39" s="28" t="e">
        <f t="shared" si="19"/>
        <v>#N/A</v>
      </c>
      <c r="AR39" s="28" t="e">
        <f t="shared" si="20"/>
        <v>#N/A</v>
      </c>
      <c r="AS39" s="28" t="e">
        <f t="shared" si="21"/>
        <v>#N/A</v>
      </c>
      <c r="AT39" s="28" t="e">
        <f t="shared" si="22"/>
        <v>#N/A</v>
      </c>
      <c r="AU39" s="32"/>
      <c r="AV39" s="31">
        <f>IF(O39&gt;MAX($V$4:$AE$4),MAX($V$4:$AE$4)-0.1,IF(O39&lt;MIN($V$4:$AE21),MIN($V$4:$AE$4)+0.1,O39))</f>
        <v>0</v>
      </c>
      <c r="AW39" s="31">
        <f t="shared" si="23"/>
        <v>0</v>
      </c>
      <c r="AX39" s="28" t="e">
        <f t="shared" si="24"/>
        <v>#N/A</v>
      </c>
      <c r="AY39" s="28" t="e">
        <f t="shared" si="25"/>
        <v>#N/A</v>
      </c>
      <c r="AZ39" s="28" t="e">
        <f t="shared" si="26"/>
        <v>#N/A</v>
      </c>
      <c r="BA39" s="28" t="e">
        <f t="shared" si="27"/>
        <v>#N/A</v>
      </c>
      <c r="BB39" s="28" t="e">
        <f t="shared" si="28"/>
        <v>#N/A</v>
      </c>
      <c r="BC39" s="28" t="e">
        <f t="shared" si="29"/>
        <v>#N/A</v>
      </c>
      <c r="BD39" s="28" t="e">
        <f t="shared" si="30"/>
        <v>#N/A</v>
      </c>
      <c r="BE39" s="28" t="e">
        <f t="shared" si="31"/>
        <v>#N/A</v>
      </c>
      <c r="BF39" s="28" t="e">
        <f t="shared" si="32"/>
        <v>#N/A</v>
      </c>
      <c r="BG39" s="28" t="e">
        <f t="shared" si="33"/>
        <v>#N/A</v>
      </c>
      <c r="BH39" s="28" t="e">
        <f t="shared" si="34"/>
        <v>#N/A</v>
      </c>
      <c r="BI39" s="28" t="e">
        <f t="shared" si="35"/>
        <v>#N/A</v>
      </c>
    </row>
    <row r="40" spans="2:61" s="16" customFormat="1" ht="75" customHeight="1" x14ac:dyDescent="0.25">
      <c r="B40" s="17"/>
      <c r="C40" s="17"/>
      <c r="D40" s="17"/>
      <c r="E40" s="41"/>
      <c r="F40" s="17"/>
      <c r="G40" s="17"/>
      <c r="H40" s="17"/>
      <c r="I40" s="17"/>
      <c r="J40" s="17"/>
      <c r="K40" s="17"/>
      <c r="L40" s="17"/>
      <c r="M40" s="17" t="e">
        <f t="shared" si="2"/>
        <v>#DIV/0!</v>
      </c>
      <c r="N40" s="17"/>
      <c r="O40" s="17"/>
      <c r="P40" s="17"/>
      <c r="Q40" s="17"/>
      <c r="R40" s="27"/>
      <c r="S40" s="27"/>
      <c r="U40" s="17">
        <f t="shared" si="3"/>
        <v>0</v>
      </c>
      <c r="V40" s="17" t="e">
        <f t="shared" si="4"/>
        <v>#DIV/0!</v>
      </c>
      <c r="W40" s="30" t="e">
        <f t="shared" si="5"/>
        <v>#DIV/0!</v>
      </c>
      <c r="X40" s="17" t="e">
        <f t="shared" si="6"/>
        <v>#N/A</v>
      </c>
      <c r="Y40" s="17" t="e">
        <f t="shared" si="7"/>
        <v>#DIV/0!</v>
      </c>
      <c r="Z40" s="17" t="e">
        <f t="shared" si="8"/>
        <v>#N/A</v>
      </c>
      <c r="AA40" s="43" t="e">
        <f t="shared" si="36"/>
        <v>#DIV/0!</v>
      </c>
      <c r="AG40" s="31">
        <f t="shared" si="9"/>
        <v>0</v>
      </c>
      <c r="AH40" s="31">
        <f t="shared" si="10"/>
        <v>0</v>
      </c>
      <c r="AI40" s="28" t="e">
        <f t="shared" si="11"/>
        <v>#N/A</v>
      </c>
      <c r="AJ40" s="28" t="e">
        <f t="shared" si="12"/>
        <v>#N/A</v>
      </c>
      <c r="AK40" s="28" t="e">
        <f t="shared" si="13"/>
        <v>#N/A</v>
      </c>
      <c r="AL40" s="28" t="e">
        <f t="shared" si="14"/>
        <v>#N/A</v>
      </c>
      <c r="AM40" s="28" t="e">
        <f t="shared" si="15"/>
        <v>#N/A</v>
      </c>
      <c r="AN40" s="28" t="e">
        <f t="shared" si="16"/>
        <v>#N/A</v>
      </c>
      <c r="AO40" s="28" t="e">
        <f t="shared" si="17"/>
        <v>#N/A</v>
      </c>
      <c r="AP40" s="28" t="e">
        <f t="shared" si="18"/>
        <v>#N/A</v>
      </c>
      <c r="AQ40" s="28" t="e">
        <f t="shared" si="19"/>
        <v>#N/A</v>
      </c>
      <c r="AR40" s="28" t="e">
        <f t="shared" si="20"/>
        <v>#N/A</v>
      </c>
      <c r="AS40" s="28" t="e">
        <f t="shared" si="21"/>
        <v>#N/A</v>
      </c>
      <c r="AT40" s="28" t="e">
        <f t="shared" si="22"/>
        <v>#N/A</v>
      </c>
      <c r="AU40" s="32"/>
      <c r="AV40" s="31" t="e">
        <f>IF(O40&gt;MAX($V$4:$AE$4),MAX($V$4:$AE$4)-0.1,IF(O40&lt;MIN($V$4:$AE22),MIN($V$4:$AE$4)+0.1,O40))</f>
        <v>#DIV/0!</v>
      </c>
      <c r="AW40" s="31">
        <f t="shared" si="23"/>
        <v>0</v>
      </c>
      <c r="AX40" s="28" t="e">
        <f t="shared" si="24"/>
        <v>#DIV/0!</v>
      </c>
      <c r="AY40" s="28" t="e">
        <f t="shared" si="25"/>
        <v>#DIV/0!</v>
      </c>
      <c r="AZ40" s="28" t="e">
        <f t="shared" si="26"/>
        <v>#DIV/0!</v>
      </c>
      <c r="BA40" s="28" t="e">
        <f t="shared" si="27"/>
        <v>#DIV/0!</v>
      </c>
      <c r="BB40" s="28" t="e">
        <f t="shared" si="28"/>
        <v>#N/A</v>
      </c>
      <c r="BC40" s="28" t="e">
        <f t="shared" si="29"/>
        <v>#N/A</v>
      </c>
      <c r="BD40" s="28" t="e">
        <f t="shared" si="30"/>
        <v>#N/A</v>
      </c>
      <c r="BE40" s="28" t="e">
        <f t="shared" si="31"/>
        <v>#N/A</v>
      </c>
      <c r="BF40" s="28" t="e">
        <f t="shared" si="32"/>
        <v>#DIV/0!</v>
      </c>
      <c r="BG40" s="28" t="e">
        <f t="shared" si="33"/>
        <v>#DIV/0!</v>
      </c>
      <c r="BH40" s="28" t="e">
        <f t="shared" si="34"/>
        <v>#DIV/0!</v>
      </c>
      <c r="BI40" s="28" t="e">
        <f t="shared" si="35"/>
        <v>#DIV/0!</v>
      </c>
    </row>
    <row r="41" spans="2:61" s="16" customFormat="1" ht="75" customHeight="1" x14ac:dyDescent="0.25">
      <c r="B41" s="17"/>
      <c r="C41" s="17"/>
      <c r="D41" s="17"/>
      <c r="E41" s="41"/>
      <c r="F41" s="17"/>
      <c r="G41" s="17"/>
      <c r="H41" s="17"/>
      <c r="I41" s="17"/>
      <c r="J41" s="17"/>
      <c r="K41" s="17"/>
      <c r="L41" s="17"/>
      <c r="M41" s="17" t="e">
        <f t="shared" si="2"/>
        <v>#DIV/0!</v>
      </c>
      <c r="N41" s="17"/>
      <c r="O41" s="17"/>
      <c r="P41" s="17"/>
      <c r="Q41" s="17"/>
      <c r="R41" s="27"/>
      <c r="S41" s="27"/>
      <c r="U41" s="17">
        <f t="shared" si="3"/>
        <v>0</v>
      </c>
      <c r="V41" s="17" t="e">
        <f t="shared" si="4"/>
        <v>#DIV/0!</v>
      </c>
      <c r="W41" s="30" t="e">
        <f t="shared" si="5"/>
        <v>#DIV/0!</v>
      </c>
      <c r="X41" s="17" t="e">
        <f t="shared" si="6"/>
        <v>#N/A</v>
      </c>
      <c r="Y41" s="17" t="e">
        <f t="shared" si="7"/>
        <v>#DIV/0!</v>
      </c>
      <c r="Z41" s="17" t="e">
        <f t="shared" si="8"/>
        <v>#N/A</v>
      </c>
      <c r="AA41" s="43" t="e">
        <f t="shared" si="36"/>
        <v>#DIV/0!</v>
      </c>
      <c r="AG41" s="31">
        <f t="shared" si="9"/>
        <v>0</v>
      </c>
      <c r="AH41" s="31">
        <f t="shared" si="10"/>
        <v>0</v>
      </c>
      <c r="AI41" s="28" t="e">
        <f t="shared" si="11"/>
        <v>#N/A</v>
      </c>
      <c r="AJ41" s="28" t="e">
        <f t="shared" si="12"/>
        <v>#N/A</v>
      </c>
      <c r="AK41" s="28" t="e">
        <f t="shared" si="13"/>
        <v>#N/A</v>
      </c>
      <c r="AL41" s="28" t="e">
        <f t="shared" si="14"/>
        <v>#N/A</v>
      </c>
      <c r="AM41" s="28" t="e">
        <f t="shared" si="15"/>
        <v>#N/A</v>
      </c>
      <c r="AN41" s="28" t="e">
        <f t="shared" si="16"/>
        <v>#N/A</v>
      </c>
      <c r="AO41" s="28" t="e">
        <f t="shared" si="17"/>
        <v>#N/A</v>
      </c>
      <c r="AP41" s="28" t="e">
        <f t="shared" si="18"/>
        <v>#N/A</v>
      </c>
      <c r="AQ41" s="28" t="e">
        <f t="shared" si="19"/>
        <v>#N/A</v>
      </c>
      <c r="AR41" s="28" t="e">
        <f t="shared" si="20"/>
        <v>#N/A</v>
      </c>
      <c r="AS41" s="28" t="e">
        <f t="shared" si="21"/>
        <v>#N/A</v>
      </c>
      <c r="AT41" s="28" t="e">
        <f t="shared" si="22"/>
        <v>#N/A</v>
      </c>
      <c r="AU41" s="32"/>
      <c r="AV41" s="31" t="e">
        <f>IF(O41&gt;MAX($V$4:$AE$4),MAX($V$4:$AE$4)-0.1,IF(O41&lt;MIN($V$4:$AE23),MIN($V$4:$AE$4)+0.1,O41))</f>
        <v>#DIV/0!</v>
      </c>
      <c r="AW41" s="31">
        <f t="shared" si="23"/>
        <v>0</v>
      </c>
      <c r="AX41" s="28" t="e">
        <f t="shared" si="24"/>
        <v>#DIV/0!</v>
      </c>
      <c r="AY41" s="28" t="e">
        <f t="shared" si="25"/>
        <v>#DIV/0!</v>
      </c>
      <c r="AZ41" s="28" t="e">
        <f t="shared" si="26"/>
        <v>#DIV/0!</v>
      </c>
      <c r="BA41" s="28" t="e">
        <f t="shared" si="27"/>
        <v>#DIV/0!</v>
      </c>
      <c r="BB41" s="28" t="e">
        <f t="shared" si="28"/>
        <v>#N/A</v>
      </c>
      <c r="BC41" s="28" t="e">
        <f t="shared" si="29"/>
        <v>#N/A</v>
      </c>
      <c r="BD41" s="28" t="e">
        <f t="shared" si="30"/>
        <v>#N/A</v>
      </c>
      <c r="BE41" s="28" t="e">
        <f t="shared" si="31"/>
        <v>#N/A</v>
      </c>
      <c r="BF41" s="28" t="e">
        <f t="shared" si="32"/>
        <v>#DIV/0!</v>
      </c>
      <c r="BG41" s="28" t="e">
        <f t="shared" si="33"/>
        <v>#DIV/0!</v>
      </c>
      <c r="BH41" s="28" t="e">
        <f t="shared" si="34"/>
        <v>#DIV/0!</v>
      </c>
      <c r="BI41" s="28" t="e">
        <f t="shared" si="35"/>
        <v>#DIV/0!</v>
      </c>
    </row>
    <row r="42" spans="2:61" s="16" customFormat="1" ht="75" customHeight="1" x14ac:dyDescent="0.25">
      <c r="B42" s="17"/>
      <c r="C42" s="17"/>
      <c r="D42" s="17"/>
      <c r="E42" s="41"/>
      <c r="F42" s="17"/>
      <c r="G42" s="17"/>
      <c r="H42" s="17"/>
      <c r="I42" s="17"/>
      <c r="J42" s="17"/>
      <c r="K42" s="17"/>
      <c r="L42" s="17"/>
      <c r="M42" s="17" t="e">
        <f t="shared" si="2"/>
        <v>#DIV/0!</v>
      </c>
      <c r="N42" s="17"/>
      <c r="O42" s="17"/>
      <c r="P42" s="17"/>
      <c r="Q42" s="17"/>
      <c r="R42" s="27"/>
      <c r="S42" s="27"/>
      <c r="U42" s="17">
        <f t="shared" si="3"/>
        <v>0</v>
      </c>
      <c r="V42" s="17" t="e">
        <f t="shared" si="4"/>
        <v>#DIV/0!</v>
      </c>
      <c r="W42" s="30" t="e">
        <f t="shared" si="5"/>
        <v>#DIV/0!</v>
      </c>
      <c r="X42" s="17" t="e">
        <f t="shared" si="6"/>
        <v>#N/A</v>
      </c>
      <c r="Y42" s="17" t="e">
        <f t="shared" si="7"/>
        <v>#DIV/0!</v>
      </c>
      <c r="Z42" s="17" t="e">
        <f t="shared" si="8"/>
        <v>#N/A</v>
      </c>
      <c r="AA42" s="43" t="e">
        <f t="shared" si="36"/>
        <v>#DIV/0!</v>
      </c>
      <c r="AG42" s="31">
        <f t="shared" si="9"/>
        <v>0</v>
      </c>
      <c r="AH42" s="31">
        <f t="shared" si="10"/>
        <v>0</v>
      </c>
      <c r="AI42" s="28" t="e">
        <f t="shared" si="11"/>
        <v>#N/A</v>
      </c>
      <c r="AJ42" s="28" t="e">
        <f t="shared" si="12"/>
        <v>#N/A</v>
      </c>
      <c r="AK42" s="28" t="e">
        <f t="shared" si="13"/>
        <v>#N/A</v>
      </c>
      <c r="AL42" s="28" t="e">
        <f t="shared" si="14"/>
        <v>#N/A</v>
      </c>
      <c r="AM42" s="28" t="e">
        <f t="shared" si="15"/>
        <v>#N/A</v>
      </c>
      <c r="AN42" s="28" t="e">
        <f t="shared" si="16"/>
        <v>#N/A</v>
      </c>
      <c r="AO42" s="28" t="e">
        <f t="shared" si="17"/>
        <v>#N/A</v>
      </c>
      <c r="AP42" s="28" t="e">
        <f t="shared" si="18"/>
        <v>#N/A</v>
      </c>
      <c r="AQ42" s="28" t="e">
        <f t="shared" si="19"/>
        <v>#N/A</v>
      </c>
      <c r="AR42" s="28" t="e">
        <f t="shared" si="20"/>
        <v>#N/A</v>
      </c>
      <c r="AS42" s="28" t="e">
        <f t="shared" si="21"/>
        <v>#N/A</v>
      </c>
      <c r="AT42" s="28" t="e">
        <f t="shared" si="22"/>
        <v>#N/A</v>
      </c>
      <c r="AU42" s="32"/>
      <c r="AV42" s="31" t="e">
        <f>IF(O42&gt;MAX($V$4:$AE$4),MAX($V$4:$AE$4)-0.1,IF(O42&lt;MIN($V$4:$AE24),MIN($V$4:$AE$4)+0.1,O42))</f>
        <v>#DIV/0!</v>
      </c>
      <c r="AW42" s="31">
        <f t="shared" si="23"/>
        <v>0</v>
      </c>
      <c r="AX42" s="28" t="e">
        <f t="shared" si="24"/>
        <v>#DIV/0!</v>
      </c>
      <c r="AY42" s="28" t="e">
        <f t="shared" si="25"/>
        <v>#DIV/0!</v>
      </c>
      <c r="AZ42" s="28" t="e">
        <f t="shared" si="26"/>
        <v>#DIV/0!</v>
      </c>
      <c r="BA42" s="28" t="e">
        <f t="shared" si="27"/>
        <v>#DIV/0!</v>
      </c>
      <c r="BB42" s="28" t="e">
        <f t="shared" si="28"/>
        <v>#N/A</v>
      </c>
      <c r="BC42" s="28" t="e">
        <f t="shared" si="29"/>
        <v>#N/A</v>
      </c>
      <c r="BD42" s="28" t="e">
        <f t="shared" si="30"/>
        <v>#N/A</v>
      </c>
      <c r="BE42" s="28" t="e">
        <f t="shared" si="31"/>
        <v>#N/A</v>
      </c>
      <c r="BF42" s="28" t="e">
        <f t="shared" si="32"/>
        <v>#DIV/0!</v>
      </c>
      <c r="BG42" s="28" t="e">
        <f t="shared" si="33"/>
        <v>#DIV/0!</v>
      </c>
      <c r="BH42" s="28" t="e">
        <f t="shared" si="34"/>
        <v>#DIV/0!</v>
      </c>
      <c r="BI42" s="28" t="e">
        <f t="shared" si="35"/>
        <v>#DIV/0!</v>
      </c>
    </row>
    <row r="43" spans="2:61" s="16" customFormat="1" ht="75" customHeight="1" x14ac:dyDescent="0.25">
      <c r="B43" s="17"/>
      <c r="C43" s="17"/>
      <c r="D43" s="17"/>
      <c r="E43" s="41"/>
      <c r="F43" s="17"/>
      <c r="G43" s="17"/>
      <c r="H43" s="17"/>
      <c r="I43" s="17"/>
      <c r="J43" s="17"/>
      <c r="K43" s="17"/>
      <c r="L43" s="17"/>
      <c r="M43" s="17" t="e">
        <f t="shared" si="2"/>
        <v>#DIV/0!</v>
      </c>
      <c r="N43" s="17"/>
      <c r="O43" s="17"/>
      <c r="P43" s="17"/>
      <c r="Q43" s="17"/>
      <c r="R43" s="27"/>
      <c r="S43" s="27"/>
      <c r="U43" s="17">
        <f t="shared" si="3"/>
        <v>0</v>
      </c>
      <c r="V43" s="17" t="e">
        <f t="shared" si="4"/>
        <v>#DIV/0!</v>
      </c>
      <c r="W43" s="30" t="e">
        <f t="shared" si="5"/>
        <v>#DIV/0!</v>
      </c>
      <c r="X43" s="17" t="e">
        <f t="shared" si="6"/>
        <v>#N/A</v>
      </c>
      <c r="Y43" s="17" t="e">
        <f t="shared" si="7"/>
        <v>#DIV/0!</v>
      </c>
      <c r="Z43" s="17" t="e">
        <f t="shared" si="8"/>
        <v>#N/A</v>
      </c>
      <c r="AA43" s="43" t="e">
        <f t="shared" si="36"/>
        <v>#DIV/0!</v>
      </c>
      <c r="AG43" s="31">
        <f t="shared" si="9"/>
        <v>0</v>
      </c>
      <c r="AH43" s="31">
        <f t="shared" si="10"/>
        <v>0</v>
      </c>
      <c r="AI43" s="28" t="e">
        <f t="shared" si="11"/>
        <v>#N/A</v>
      </c>
      <c r="AJ43" s="28" t="e">
        <f t="shared" si="12"/>
        <v>#N/A</v>
      </c>
      <c r="AK43" s="28" t="e">
        <f t="shared" si="13"/>
        <v>#N/A</v>
      </c>
      <c r="AL43" s="28" t="e">
        <f t="shared" si="14"/>
        <v>#N/A</v>
      </c>
      <c r="AM43" s="28" t="e">
        <f t="shared" si="15"/>
        <v>#N/A</v>
      </c>
      <c r="AN43" s="28" t="e">
        <f t="shared" si="16"/>
        <v>#N/A</v>
      </c>
      <c r="AO43" s="28" t="e">
        <f t="shared" si="17"/>
        <v>#N/A</v>
      </c>
      <c r="AP43" s="28" t="e">
        <f t="shared" si="18"/>
        <v>#N/A</v>
      </c>
      <c r="AQ43" s="28" t="e">
        <f t="shared" si="19"/>
        <v>#N/A</v>
      </c>
      <c r="AR43" s="28" t="e">
        <f t="shared" si="20"/>
        <v>#N/A</v>
      </c>
      <c r="AS43" s="28" t="e">
        <f t="shared" si="21"/>
        <v>#N/A</v>
      </c>
      <c r="AT43" s="28" t="e">
        <f t="shared" si="22"/>
        <v>#N/A</v>
      </c>
      <c r="AU43" s="32"/>
      <c r="AV43" s="31" t="e">
        <f>IF(O43&gt;MAX($V$4:$AE$4),MAX($V$4:$AE$4)-0.1,IF(O43&lt;MIN($V$4:$AE25),MIN($V$4:$AE$4)+0.1,O43))</f>
        <v>#DIV/0!</v>
      </c>
      <c r="AW43" s="31">
        <f t="shared" si="23"/>
        <v>0</v>
      </c>
      <c r="AX43" s="28" t="e">
        <f t="shared" si="24"/>
        <v>#DIV/0!</v>
      </c>
      <c r="AY43" s="28" t="e">
        <f t="shared" si="25"/>
        <v>#DIV/0!</v>
      </c>
      <c r="AZ43" s="28" t="e">
        <f t="shared" si="26"/>
        <v>#DIV/0!</v>
      </c>
      <c r="BA43" s="28" t="e">
        <f t="shared" si="27"/>
        <v>#DIV/0!</v>
      </c>
      <c r="BB43" s="28" t="e">
        <f t="shared" si="28"/>
        <v>#N/A</v>
      </c>
      <c r="BC43" s="28" t="e">
        <f t="shared" si="29"/>
        <v>#N/A</v>
      </c>
      <c r="BD43" s="28" t="e">
        <f t="shared" si="30"/>
        <v>#N/A</v>
      </c>
      <c r="BE43" s="28" t="e">
        <f t="shared" si="31"/>
        <v>#N/A</v>
      </c>
      <c r="BF43" s="28" t="e">
        <f t="shared" si="32"/>
        <v>#DIV/0!</v>
      </c>
      <c r="BG43" s="28" t="e">
        <f t="shared" si="33"/>
        <v>#DIV/0!</v>
      </c>
      <c r="BH43" s="28" t="e">
        <f t="shared" si="34"/>
        <v>#DIV/0!</v>
      </c>
      <c r="BI43" s="28" t="e">
        <f t="shared" si="35"/>
        <v>#DIV/0!</v>
      </c>
    </row>
    <row r="44" spans="2:61" s="16" customFormat="1" ht="75" customHeight="1" x14ac:dyDescent="0.25">
      <c r="B44" s="17"/>
      <c r="C44" s="17"/>
      <c r="D44" s="17"/>
      <c r="E44" s="41"/>
      <c r="F44" s="17"/>
      <c r="G44" s="17"/>
      <c r="H44" s="17"/>
      <c r="I44" s="17"/>
      <c r="J44" s="17"/>
      <c r="K44" s="17"/>
      <c r="L44" s="17"/>
      <c r="M44" s="17" t="e">
        <f t="shared" si="2"/>
        <v>#DIV/0!</v>
      </c>
      <c r="N44" s="17"/>
      <c r="O44" s="17"/>
      <c r="P44" s="17"/>
      <c r="Q44" s="17"/>
      <c r="R44" s="27"/>
      <c r="S44" s="27"/>
      <c r="U44" s="17">
        <f t="shared" si="3"/>
        <v>0</v>
      </c>
      <c r="V44" s="17" t="e">
        <f t="shared" si="4"/>
        <v>#DIV/0!</v>
      </c>
      <c r="W44" s="30" t="e">
        <f t="shared" si="5"/>
        <v>#DIV/0!</v>
      </c>
      <c r="X44" s="17" t="e">
        <f t="shared" si="6"/>
        <v>#N/A</v>
      </c>
      <c r="Y44" s="17" t="e">
        <f t="shared" si="7"/>
        <v>#DIV/0!</v>
      </c>
      <c r="Z44" s="17" t="e">
        <f t="shared" si="8"/>
        <v>#N/A</v>
      </c>
      <c r="AA44" s="43" t="e">
        <f t="shared" si="36"/>
        <v>#DIV/0!</v>
      </c>
      <c r="AG44" s="31">
        <f t="shared" si="9"/>
        <v>0</v>
      </c>
      <c r="AH44" s="31">
        <f t="shared" si="10"/>
        <v>0</v>
      </c>
      <c r="AI44" s="28" t="e">
        <f t="shared" si="11"/>
        <v>#N/A</v>
      </c>
      <c r="AJ44" s="28" t="e">
        <f t="shared" si="12"/>
        <v>#N/A</v>
      </c>
      <c r="AK44" s="28" t="e">
        <f t="shared" si="13"/>
        <v>#N/A</v>
      </c>
      <c r="AL44" s="28" t="e">
        <f t="shared" si="14"/>
        <v>#N/A</v>
      </c>
      <c r="AM44" s="28" t="e">
        <f t="shared" si="15"/>
        <v>#N/A</v>
      </c>
      <c r="AN44" s="28" t="e">
        <f t="shared" si="16"/>
        <v>#N/A</v>
      </c>
      <c r="AO44" s="28" t="e">
        <f t="shared" si="17"/>
        <v>#N/A</v>
      </c>
      <c r="AP44" s="28" t="e">
        <f t="shared" si="18"/>
        <v>#N/A</v>
      </c>
      <c r="AQ44" s="28" t="e">
        <f t="shared" si="19"/>
        <v>#N/A</v>
      </c>
      <c r="AR44" s="28" t="e">
        <f t="shared" si="20"/>
        <v>#N/A</v>
      </c>
      <c r="AS44" s="28" t="e">
        <f t="shared" si="21"/>
        <v>#N/A</v>
      </c>
      <c r="AT44" s="28" t="e">
        <f t="shared" si="22"/>
        <v>#N/A</v>
      </c>
      <c r="AU44" s="32"/>
      <c r="AV44" s="31" t="e">
        <f>IF(O44&gt;MAX($V$4:$AE$4),MAX($V$4:$AE$4)-0.1,IF(O44&lt;MIN($V$4:$AE26),MIN($V$4:$AE$4)+0.1,O44))</f>
        <v>#DIV/0!</v>
      </c>
      <c r="AW44" s="31">
        <f t="shared" si="23"/>
        <v>0</v>
      </c>
      <c r="AX44" s="28" t="e">
        <f t="shared" si="24"/>
        <v>#DIV/0!</v>
      </c>
      <c r="AY44" s="28" t="e">
        <f t="shared" si="25"/>
        <v>#DIV/0!</v>
      </c>
      <c r="AZ44" s="28" t="e">
        <f t="shared" si="26"/>
        <v>#DIV/0!</v>
      </c>
      <c r="BA44" s="28" t="e">
        <f t="shared" si="27"/>
        <v>#DIV/0!</v>
      </c>
      <c r="BB44" s="28" t="e">
        <f t="shared" si="28"/>
        <v>#N/A</v>
      </c>
      <c r="BC44" s="28" t="e">
        <f t="shared" si="29"/>
        <v>#N/A</v>
      </c>
      <c r="BD44" s="28" t="e">
        <f t="shared" si="30"/>
        <v>#N/A</v>
      </c>
      <c r="BE44" s="28" t="e">
        <f t="shared" si="31"/>
        <v>#N/A</v>
      </c>
      <c r="BF44" s="28" t="e">
        <f t="shared" si="32"/>
        <v>#DIV/0!</v>
      </c>
      <c r="BG44" s="28" t="e">
        <f t="shared" si="33"/>
        <v>#DIV/0!</v>
      </c>
      <c r="BH44" s="28" t="e">
        <f t="shared" si="34"/>
        <v>#DIV/0!</v>
      </c>
      <c r="BI44" s="28" t="e">
        <f t="shared" si="35"/>
        <v>#DIV/0!</v>
      </c>
    </row>
    <row r="45" spans="2:61" s="16" customFormat="1" ht="75" customHeight="1" x14ac:dyDescent="0.25">
      <c r="B45" s="17"/>
      <c r="C45" s="17"/>
      <c r="D45" s="17"/>
      <c r="E45" s="41"/>
      <c r="F45" s="17"/>
      <c r="G45" s="17"/>
      <c r="H45" s="17"/>
      <c r="I45" s="17"/>
      <c r="J45" s="17"/>
      <c r="K45" s="17"/>
      <c r="L45" s="17"/>
      <c r="M45" s="17" t="e">
        <f t="shared" si="2"/>
        <v>#DIV/0!</v>
      </c>
      <c r="N45" s="17"/>
      <c r="O45" s="17"/>
      <c r="P45" s="17"/>
      <c r="Q45" s="17"/>
      <c r="R45" s="27"/>
      <c r="S45" s="27"/>
      <c r="U45" s="17">
        <f t="shared" si="3"/>
        <v>0</v>
      </c>
      <c r="V45" s="17" t="e">
        <f t="shared" si="4"/>
        <v>#DIV/0!</v>
      </c>
      <c r="W45" s="30" t="e">
        <f t="shared" si="5"/>
        <v>#DIV/0!</v>
      </c>
      <c r="X45" s="17" t="e">
        <f t="shared" si="6"/>
        <v>#N/A</v>
      </c>
      <c r="Y45" s="17" t="e">
        <f t="shared" si="7"/>
        <v>#DIV/0!</v>
      </c>
      <c r="Z45" s="17" t="e">
        <f t="shared" si="8"/>
        <v>#N/A</v>
      </c>
      <c r="AA45" s="43" t="e">
        <f t="shared" si="36"/>
        <v>#DIV/0!</v>
      </c>
      <c r="AG45" s="31">
        <f t="shared" si="9"/>
        <v>0</v>
      </c>
      <c r="AH45" s="31">
        <f t="shared" si="10"/>
        <v>0</v>
      </c>
      <c r="AI45" s="28" t="e">
        <f t="shared" si="11"/>
        <v>#N/A</v>
      </c>
      <c r="AJ45" s="28" t="e">
        <f t="shared" si="12"/>
        <v>#N/A</v>
      </c>
      <c r="AK45" s="28" t="e">
        <f t="shared" si="13"/>
        <v>#N/A</v>
      </c>
      <c r="AL45" s="28" t="e">
        <f t="shared" si="14"/>
        <v>#N/A</v>
      </c>
      <c r="AM45" s="28" t="e">
        <f t="shared" si="15"/>
        <v>#N/A</v>
      </c>
      <c r="AN45" s="28" t="e">
        <f t="shared" si="16"/>
        <v>#N/A</v>
      </c>
      <c r="AO45" s="28" t="e">
        <f t="shared" si="17"/>
        <v>#N/A</v>
      </c>
      <c r="AP45" s="28" t="e">
        <f t="shared" si="18"/>
        <v>#N/A</v>
      </c>
      <c r="AQ45" s="28" t="e">
        <f t="shared" si="19"/>
        <v>#N/A</v>
      </c>
      <c r="AR45" s="28" t="e">
        <f t="shared" si="20"/>
        <v>#N/A</v>
      </c>
      <c r="AS45" s="28" t="e">
        <f t="shared" si="21"/>
        <v>#N/A</v>
      </c>
      <c r="AT45" s="28" t="e">
        <f t="shared" si="22"/>
        <v>#N/A</v>
      </c>
      <c r="AU45" s="32"/>
      <c r="AV45" s="31" t="e">
        <f>IF(O45&gt;MAX($V$4:$AE$4),MAX($V$4:$AE$4)-0.1,IF(O45&lt;MIN($V$4:$AE27),MIN($V$4:$AE$4)+0.1,O45))</f>
        <v>#DIV/0!</v>
      </c>
      <c r="AW45" s="31">
        <f t="shared" si="23"/>
        <v>0</v>
      </c>
      <c r="AX45" s="28" t="e">
        <f t="shared" si="24"/>
        <v>#DIV/0!</v>
      </c>
      <c r="AY45" s="28" t="e">
        <f t="shared" si="25"/>
        <v>#DIV/0!</v>
      </c>
      <c r="AZ45" s="28" t="e">
        <f t="shared" si="26"/>
        <v>#DIV/0!</v>
      </c>
      <c r="BA45" s="28" t="e">
        <f t="shared" si="27"/>
        <v>#DIV/0!</v>
      </c>
      <c r="BB45" s="28" t="e">
        <f t="shared" si="28"/>
        <v>#N/A</v>
      </c>
      <c r="BC45" s="28" t="e">
        <f t="shared" si="29"/>
        <v>#N/A</v>
      </c>
      <c r="BD45" s="28" t="e">
        <f t="shared" si="30"/>
        <v>#N/A</v>
      </c>
      <c r="BE45" s="28" t="e">
        <f t="shared" si="31"/>
        <v>#N/A</v>
      </c>
      <c r="BF45" s="28" t="e">
        <f t="shared" si="32"/>
        <v>#DIV/0!</v>
      </c>
      <c r="BG45" s="28" t="e">
        <f t="shared" si="33"/>
        <v>#DIV/0!</v>
      </c>
      <c r="BH45" s="28" t="e">
        <f t="shared" si="34"/>
        <v>#DIV/0!</v>
      </c>
      <c r="BI45" s="28" t="e">
        <f t="shared" si="35"/>
        <v>#DIV/0!</v>
      </c>
    </row>
    <row r="46" spans="2:61" s="16" customFormat="1" ht="75" customHeight="1" x14ac:dyDescent="0.25">
      <c r="B46" s="17"/>
      <c r="C46" s="17"/>
      <c r="D46" s="17"/>
      <c r="E46" s="41"/>
      <c r="F46" s="17"/>
      <c r="G46" s="17"/>
      <c r="H46" s="17"/>
      <c r="I46" s="17"/>
      <c r="J46" s="17"/>
      <c r="K46" s="17"/>
      <c r="L46" s="17"/>
      <c r="M46" s="17" t="e">
        <f t="shared" si="2"/>
        <v>#DIV/0!</v>
      </c>
      <c r="N46" s="17"/>
      <c r="O46" s="17"/>
      <c r="P46" s="17"/>
      <c r="Q46" s="17"/>
      <c r="R46" s="27"/>
      <c r="S46" s="27"/>
      <c r="U46" s="17">
        <f t="shared" si="3"/>
        <v>0</v>
      </c>
      <c r="V46" s="17" t="e">
        <f t="shared" si="4"/>
        <v>#DIV/0!</v>
      </c>
      <c r="W46" s="30" t="e">
        <f t="shared" si="5"/>
        <v>#DIV/0!</v>
      </c>
      <c r="X46" s="17" t="e">
        <f t="shared" si="6"/>
        <v>#N/A</v>
      </c>
      <c r="Y46" s="17" t="e">
        <f t="shared" si="7"/>
        <v>#DIV/0!</v>
      </c>
      <c r="Z46" s="17" t="e">
        <f t="shared" si="8"/>
        <v>#N/A</v>
      </c>
      <c r="AA46" s="43" t="e">
        <f t="shared" si="36"/>
        <v>#DIV/0!</v>
      </c>
      <c r="AG46" s="31">
        <f t="shared" si="9"/>
        <v>0</v>
      </c>
      <c r="AH46" s="31">
        <f t="shared" si="10"/>
        <v>0</v>
      </c>
      <c r="AI46" s="28" t="e">
        <f t="shared" si="11"/>
        <v>#N/A</v>
      </c>
      <c r="AJ46" s="28" t="e">
        <f t="shared" si="12"/>
        <v>#N/A</v>
      </c>
      <c r="AK46" s="28" t="e">
        <f t="shared" si="13"/>
        <v>#N/A</v>
      </c>
      <c r="AL46" s="28" t="e">
        <f t="shared" si="14"/>
        <v>#N/A</v>
      </c>
      <c r="AM46" s="28" t="e">
        <f t="shared" si="15"/>
        <v>#N/A</v>
      </c>
      <c r="AN46" s="28" t="e">
        <f t="shared" si="16"/>
        <v>#N/A</v>
      </c>
      <c r="AO46" s="28" t="e">
        <f t="shared" si="17"/>
        <v>#N/A</v>
      </c>
      <c r="AP46" s="28" t="e">
        <f t="shared" si="18"/>
        <v>#N/A</v>
      </c>
      <c r="AQ46" s="28" t="e">
        <f t="shared" si="19"/>
        <v>#N/A</v>
      </c>
      <c r="AR46" s="28" t="e">
        <f t="shared" si="20"/>
        <v>#N/A</v>
      </c>
      <c r="AS46" s="28" t="e">
        <f t="shared" si="21"/>
        <v>#N/A</v>
      </c>
      <c r="AT46" s="28" t="e">
        <f t="shared" si="22"/>
        <v>#N/A</v>
      </c>
      <c r="AU46" s="32"/>
      <c r="AV46" s="31" t="e">
        <f>IF(O46&gt;MAX($V$4:$AE$4),MAX($V$4:$AE$4)-0.1,IF(O46&lt;MIN($V$4:$AE28),MIN($V$4:$AE$4)+0.1,O46))</f>
        <v>#DIV/0!</v>
      </c>
      <c r="AW46" s="31">
        <f t="shared" si="23"/>
        <v>0</v>
      </c>
      <c r="AX46" s="28" t="e">
        <f t="shared" si="24"/>
        <v>#DIV/0!</v>
      </c>
      <c r="AY46" s="28" t="e">
        <f t="shared" si="25"/>
        <v>#DIV/0!</v>
      </c>
      <c r="AZ46" s="28" t="e">
        <f t="shared" si="26"/>
        <v>#DIV/0!</v>
      </c>
      <c r="BA46" s="28" t="e">
        <f t="shared" si="27"/>
        <v>#DIV/0!</v>
      </c>
      <c r="BB46" s="28" t="e">
        <f t="shared" si="28"/>
        <v>#N/A</v>
      </c>
      <c r="BC46" s="28" t="e">
        <f t="shared" si="29"/>
        <v>#N/A</v>
      </c>
      <c r="BD46" s="28" t="e">
        <f t="shared" si="30"/>
        <v>#N/A</v>
      </c>
      <c r="BE46" s="28" t="e">
        <f t="shared" si="31"/>
        <v>#N/A</v>
      </c>
      <c r="BF46" s="28" t="e">
        <f t="shared" si="32"/>
        <v>#DIV/0!</v>
      </c>
      <c r="BG46" s="28" t="e">
        <f t="shared" si="33"/>
        <v>#DIV/0!</v>
      </c>
      <c r="BH46" s="28" t="e">
        <f t="shared" si="34"/>
        <v>#DIV/0!</v>
      </c>
      <c r="BI46" s="28" t="e">
        <f t="shared" si="35"/>
        <v>#DIV/0!</v>
      </c>
    </row>
    <row r="47" spans="2:61" s="16" customFormat="1" ht="75" customHeight="1" x14ac:dyDescent="0.25">
      <c r="B47" s="17"/>
      <c r="C47" s="17"/>
      <c r="D47" s="17"/>
      <c r="E47" s="41"/>
      <c r="F47" s="17"/>
      <c r="G47" s="17"/>
      <c r="H47" s="17"/>
      <c r="I47" s="17"/>
      <c r="J47" s="17"/>
      <c r="K47" s="17"/>
      <c r="L47" s="17"/>
      <c r="M47" s="17" t="e">
        <f t="shared" si="2"/>
        <v>#DIV/0!</v>
      </c>
      <c r="N47" s="17"/>
      <c r="O47" s="17"/>
      <c r="P47" s="17"/>
      <c r="Q47" s="17"/>
      <c r="R47" s="27"/>
      <c r="S47" s="27"/>
      <c r="U47" s="17">
        <f t="shared" si="3"/>
        <v>0</v>
      </c>
      <c r="V47" s="17" t="e">
        <f t="shared" si="4"/>
        <v>#DIV/0!</v>
      </c>
      <c r="W47" s="30" t="e">
        <f t="shared" si="5"/>
        <v>#DIV/0!</v>
      </c>
      <c r="X47" s="17" t="e">
        <f t="shared" si="6"/>
        <v>#N/A</v>
      </c>
      <c r="Y47" s="17" t="e">
        <f t="shared" si="7"/>
        <v>#DIV/0!</v>
      </c>
      <c r="Z47" s="17" t="e">
        <f t="shared" si="8"/>
        <v>#N/A</v>
      </c>
      <c r="AA47" s="43" t="e">
        <f t="shared" si="36"/>
        <v>#DIV/0!</v>
      </c>
      <c r="AG47" s="31">
        <f t="shared" si="9"/>
        <v>0</v>
      </c>
      <c r="AH47" s="31">
        <f t="shared" si="10"/>
        <v>0</v>
      </c>
      <c r="AI47" s="28" t="e">
        <f t="shared" si="11"/>
        <v>#N/A</v>
      </c>
      <c r="AJ47" s="28" t="e">
        <f t="shared" si="12"/>
        <v>#N/A</v>
      </c>
      <c r="AK47" s="28" t="e">
        <f t="shared" si="13"/>
        <v>#N/A</v>
      </c>
      <c r="AL47" s="28" t="e">
        <f t="shared" si="14"/>
        <v>#N/A</v>
      </c>
      <c r="AM47" s="28" t="e">
        <f t="shared" si="15"/>
        <v>#N/A</v>
      </c>
      <c r="AN47" s="28" t="e">
        <f t="shared" si="16"/>
        <v>#N/A</v>
      </c>
      <c r="AO47" s="28" t="e">
        <f t="shared" si="17"/>
        <v>#N/A</v>
      </c>
      <c r="AP47" s="28" t="e">
        <f t="shared" si="18"/>
        <v>#N/A</v>
      </c>
      <c r="AQ47" s="28" t="e">
        <f t="shared" si="19"/>
        <v>#N/A</v>
      </c>
      <c r="AR47" s="28" t="e">
        <f t="shared" si="20"/>
        <v>#N/A</v>
      </c>
      <c r="AS47" s="28" t="e">
        <f t="shared" si="21"/>
        <v>#N/A</v>
      </c>
      <c r="AT47" s="28" t="e">
        <f t="shared" si="22"/>
        <v>#N/A</v>
      </c>
      <c r="AU47" s="32"/>
      <c r="AV47" s="31" t="e">
        <f>IF(O47&gt;MAX($V$4:$AE$4),MAX($V$4:$AE$4)-0.1,IF(O47&lt;MIN($V$4:$AE29),MIN($V$4:$AE$4)+0.1,O47))</f>
        <v>#DIV/0!</v>
      </c>
      <c r="AW47" s="31">
        <f t="shared" si="23"/>
        <v>0</v>
      </c>
      <c r="AX47" s="28" t="e">
        <f t="shared" si="24"/>
        <v>#DIV/0!</v>
      </c>
      <c r="AY47" s="28" t="e">
        <f t="shared" si="25"/>
        <v>#DIV/0!</v>
      </c>
      <c r="AZ47" s="28" t="e">
        <f t="shared" si="26"/>
        <v>#DIV/0!</v>
      </c>
      <c r="BA47" s="28" t="e">
        <f t="shared" si="27"/>
        <v>#DIV/0!</v>
      </c>
      <c r="BB47" s="28" t="e">
        <f t="shared" si="28"/>
        <v>#N/A</v>
      </c>
      <c r="BC47" s="28" t="e">
        <f t="shared" si="29"/>
        <v>#N/A</v>
      </c>
      <c r="BD47" s="28" t="e">
        <f t="shared" si="30"/>
        <v>#N/A</v>
      </c>
      <c r="BE47" s="28" t="e">
        <f t="shared" si="31"/>
        <v>#N/A</v>
      </c>
      <c r="BF47" s="28" t="e">
        <f t="shared" si="32"/>
        <v>#DIV/0!</v>
      </c>
      <c r="BG47" s="28" t="e">
        <f t="shared" si="33"/>
        <v>#DIV/0!</v>
      </c>
      <c r="BH47" s="28" t="e">
        <f t="shared" si="34"/>
        <v>#DIV/0!</v>
      </c>
      <c r="BI47" s="28" t="e">
        <f t="shared" si="35"/>
        <v>#DIV/0!</v>
      </c>
    </row>
    <row r="48" spans="2:61" s="16" customFormat="1" ht="75" customHeight="1" x14ac:dyDescent="0.25">
      <c r="B48" s="17"/>
      <c r="C48" s="17"/>
      <c r="D48" s="17"/>
      <c r="E48" s="41"/>
      <c r="F48" s="17"/>
      <c r="G48" s="17"/>
      <c r="H48" s="17"/>
      <c r="I48" s="17"/>
      <c r="J48" s="17"/>
      <c r="K48" s="17"/>
      <c r="L48" s="17"/>
      <c r="M48" s="17" t="e">
        <f t="shared" si="2"/>
        <v>#DIV/0!</v>
      </c>
      <c r="N48" s="17"/>
      <c r="O48" s="17"/>
      <c r="P48" s="17"/>
      <c r="Q48" s="17"/>
      <c r="R48" s="27"/>
      <c r="S48" s="27"/>
      <c r="U48" s="17">
        <f t="shared" si="3"/>
        <v>0</v>
      </c>
      <c r="V48" s="17" t="e">
        <f t="shared" si="4"/>
        <v>#DIV/0!</v>
      </c>
      <c r="W48" s="30" t="e">
        <f t="shared" si="5"/>
        <v>#DIV/0!</v>
      </c>
      <c r="X48" s="17" t="e">
        <f t="shared" si="6"/>
        <v>#N/A</v>
      </c>
      <c r="Y48" s="17" t="e">
        <f t="shared" si="7"/>
        <v>#DIV/0!</v>
      </c>
      <c r="Z48" s="17" t="e">
        <f t="shared" si="8"/>
        <v>#N/A</v>
      </c>
      <c r="AA48" s="43" t="e">
        <f t="shared" si="36"/>
        <v>#DIV/0!</v>
      </c>
      <c r="AG48" s="31">
        <f t="shared" si="9"/>
        <v>0</v>
      </c>
      <c r="AH48" s="31">
        <f t="shared" si="10"/>
        <v>0</v>
      </c>
      <c r="AI48" s="28" t="e">
        <f t="shared" si="11"/>
        <v>#N/A</v>
      </c>
      <c r="AJ48" s="28" t="e">
        <f t="shared" si="12"/>
        <v>#N/A</v>
      </c>
      <c r="AK48" s="28" t="e">
        <f t="shared" si="13"/>
        <v>#N/A</v>
      </c>
      <c r="AL48" s="28" t="e">
        <f t="shared" si="14"/>
        <v>#N/A</v>
      </c>
      <c r="AM48" s="28" t="e">
        <f t="shared" si="15"/>
        <v>#N/A</v>
      </c>
      <c r="AN48" s="28" t="e">
        <f t="shared" si="16"/>
        <v>#N/A</v>
      </c>
      <c r="AO48" s="28" t="e">
        <f t="shared" si="17"/>
        <v>#N/A</v>
      </c>
      <c r="AP48" s="28" t="e">
        <f t="shared" si="18"/>
        <v>#N/A</v>
      </c>
      <c r="AQ48" s="28" t="e">
        <f t="shared" si="19"/>
        <v>#N/A</v>
      </c>
      <c r="AR48" s="28" t="e">
        <f t="shared" si="20"/>
        <v>#N/A</v>
      </c>
      <c r="AS48" s="28" t="e">
        <f t="shared" si="21"/>
        <v>#N/A</v>
      </c>
      <c r="AT48" s="28" t="e">
        <f t="shared" si="22"/>
        <v>#N/A</v>
      </c>
      <c r="AU48" s="32"/>
      <c r="AV48" s="31" t="e">
        <f>IF(O48&gt;MAX($V$4:$AE$4),MAX($V$4:$AE$4)-0.1,IF(O48&lt;MIN($V$4:$AE30),MIN($V$4:$AE$4)+0.1,O48))</f>
        <v>#DIV/0!</v>
      </c>
      <c r="AW48" s="31">
        <f t="shared" si="23"/>
        <v>0</v>
      </c>
      <c r="AX48" s="28" t="e">
        <f t="shared" si="24"/>
        <v>#DIV/0!</v>
      </c>
      <c r="AY48" s="28" t="e">
        <f t="shared" si="25"/>
        <v>#DIV/0!</v>
      </c>
      <c r="AZ48" s="28" t="e">
        <f t="shared" si="26"/>
        <v>#DIV/0!</v>
      </c>
      <c r="BA48" s="28" t="e">
        <f t="shared" si="27"/>
        <v>#DIV/0!</v>
      </c>
      <c r="BB48" s="28" t="e">
        <f t="shared" si="28"/>
        <v>#N/A</v>
      </c>
      <c r="BC48" s="28" t="e">
        <f t="shared" si="29"/>
        <v>#N/A</v>
      </c>
      <c r="BD48" s="28" t="e">
        <f t="shared" si="30"/>
        <v>#N/A</v>
      </c>
      <c r="BE48" s="28" t="e">
        <f t="shared" si="31"/>
        <v>#N/A</v>
      </c>
      <c r="BF48" s="28" t="e">
        <f t="shared" si="32"/>
        <v>#DIV/0!</v>
      </c>
      <c r="BG48" s="28" t="e">
        <f t="shared" si="33"/>
        <v>#DIV/0!</v>
      </c>
      <c r="BH48" s="28" t="e">
        <f t="shared" si="34"/>
        <v>#DIV/0!</v>
      </c>
      <c r="BI48" s="28" t="e">
        <f t="shared" si="35"/>
        <v>#DIV/0!</v>
      </c>
    </row>
    <row r="49" spans="2:61" s="16" customFormat="1" ht="75" customHeight="1" x14ac:dyDescent="0.25">
      <c r="B49" s="17"/>
      <c r="C49" s="17"/>
      <c r="D49" s="17"/>
      <c r="E49" s="41"/>
      <c r="F49" s="17"/>
      <c r="G49" s="17"/>
      <c r="H49" s="17"/>
      <c r="I49" s="17"/>
      <c r="J49" s="17"/>
      <c r="K49" s="17"/>
      <c r="L49" s="17"/>
      <c r="M49" s="17" t="e">
        <f t="shared" si="2"/>
        <v>#DIV/0!</v>
      </c>
      <c r="N49" s="17"/>
      <c r="O49" s="17"/>
      <c r="P49" s="17"/>
      <c r="Q49" s="17"/>
      <c r="R49" s="27"/>
      <c r="S49" s="27"/>
      <c r="U49" s="17">
        <f t="shared" si="3"/>
        <v>0</v>
      </c>
      <c r="V49" s="17" t="e">
        <f t="shared" si="4"/>
        <v>#DIV/0!</v>
      </c>
      <c r="W49" s="30" t="e">
        <f t="shared" si="5"/>
        <v>#DIV/0!</v>
      </c>
      <c r="X49" s="17" t="e">
        <f t="shared" si="6"/>
        <v>#N/A</v>
      </c>
      <c r="Y49" s="17" t="e">
        <f t="shared" si="7"/>
        <v>#DIV/0!</v>
      </c>
      <c r="Z49" s="17" t="e">
        <f t="shared" si="8"/>
        <v>#N/A</v>
      </c>
      <c r="AA49" s="43" t="e">
        <f t="shared" si="36"/>
        <v>#DIV/0!</v>
      </c>
      <c r="AG49" s="31">
        <f t="shared" si="9"/>
        <v>0</v>
      </c>
      <c r="AH49" s="31">
        <f t="shared" si="10"/>
        <v>0</v>
      </c>
      <c r="AI49" s="28" t="e">
        <f t="shared" si="11"/>
        <v>#N/A</v>
      </c>
      <c r="AJ49" s="28" t="e">
        <f t="shared" si="12"/>
        <v>#N/A</v>
      </c>
      <c r="AK49" s="28" t="e">
        <f t="shared" si="13"/>
        <v>#N/A</v>
      </c>
      <c r="AL49" s="28" t="e">
        <f t="shared" si="14"/>
        <v>#N/A</v>
      </c>
      <c r="AM49" s="28" t="e">
        <f t="shared" si="15"/>
        <v>#N/A</v>
      </c>
      <c r="AN49" s="28" t="e">
        <f t="shared" si="16"/>
        <v>#N/A</v>
      </c>
      <c r="AO49" s="28" t="e">
        <f t="shared" si="17"/>
        <v>#N/A</v>
      </c>
      <c r="AP49" s="28" t="e">
        <f t="shared" si="18"/>
        <v>#N/A</v>
      </c>
      <c r="AQ49" s="28" t="e">
        <f t="shared" si="19"/>
        <v>#N/A</v>
      </c>
      <c r="AR49" s="28" t="e">
        <f t="shared" si="20"/>
        <v>#N/A</v>
      </c>
      <c r="AS49" s="28" t="e">
        <f t="shared" si="21"/>
        <v>#N/A</v>
      </c>
      <c r="AT49" s="28" t="e">
        <f t="shared" si="22"/>
        <v>#N/A</v>
      </c>
      <c r="AU49" s="32"/>
      <c r="AV49" s="31" t="e">
        <f>IF(O49&gt;MAX($V$4:$AE$4),MAX($V$4:$AE$4)-0.1,IF(O49&lt;MIN($V$4:$AE31),MIN($V$4:$AE$4)+0.1,O49))</f>
        <v>#DIV/0!</v>
      </c>
      <c r="AW49" s="31">
        <f t="shared" si="23"/>
        <v>0</v>
      </c>
      <c r="AX49" s="28" t="e">
        <f t="shared" si="24"/>
        <v>#DIV/0!</v>
      </c>
      <c r="AY49" s="28" t="e">
        <f t="shared" si="25"/>
        <v>#DIV/0!</v>
      </c>
      <c r="AZ49" s="28" t="e">
        <f t="shared" si="26"/>
        <v>#DIV/0!</v>
      </c>
      <c r="BA49" s="28" t="e">
        <f t="shared" si="27"/>
        <v>#DIV/0!</v>
      </c>
      <c r="BB49" s="28" t="e">
        <f t="shared" si="28"/>
        <v>#N/A</v>
      </c>
      <c r="BC49" s="28" t="e">
        <f t="shared" si="29"/>
        <v>#N/A</v>
      </c>
      <c r="BD49" s="28" t="e">
        <f t="shared" si="30"/>
        <v>#N/A</v>
      </c>
      <c r="BE49" s="28" t="e">
        <f t="shared" si="31"/>
        <v>#N/A</v>
      </c>
      <c r="BF49" s="28" t="e">
        <f t="shared" si="32"/>
        <v>#DIV/0!</v>
      </c>
      <c r="BG49" s="28" t="e">
        <f t="shared" si="33"/>
        <v>#DIV/0!</v>
      </c>
      <c r="BH49" s="28" t="e">
        <f t="shared" si="34"/>
        <v>#DIV/0!</v>
      </c>
      <c r="BI49" s="28" t="e">
        <f t="shared" si="35"/>
        <v>#DIV/0!</v>
      </c>
    </row>
    <row r="50" spans="2:61" s="16" customFormat="1" ht="75" customHeight="1" x14ac:dyDescent="0.25">
      <c r="B50" s="17"/>
      <c r="C50" s="17"/>
      <c r="D50" s="17"/>
      <c r="E50" s="41"/>
      <c r="F50" s="17"/>
      <c r="G50" s="17"/>
      <c r="H50" s="17"/>
      <c r="I50" s="17"/>
      <c r="J50" s="17"/>
      <c r="K50" s="17"/>
      <c r="L50" s="17"/>
      <c r="M50" s="17" t="e">
        <f t="shared" si="2"/>
        <v>#DIV/0!</v>
      </c>
      <c r="N50" s="17"/>
      <c r="O50" s="17"/>
      <c r="P50" s="17"/>
      <c r="Q50" s="17"/>
      <c r="R50" s="27"/>
      <c r="S50" s="27"/>
      <c r="U50" s="17">
        <f t="shared" si="3"/>
        <v>0</v>
      </c>
      <c r="V50" s="17" t="e">
        <f t="shared" si="4"/>
        <v>#DIV/0!</v>
      </c>
      <c r="W50" s="30" t="e">
        <f t="shared" si="5"/>
        <v>#DIV/0!</v>
      </c>
      <c r="X50" s="17" t="e">
        <f t="shared" si="6"/>
        <v>#N/A</v>
      </c>
      <c r="Y50" s="17" t="e">
        <f t="shared" si="7"/>
        <v>#DIV/0!</v>
      </c>
      <c r="Z50" s="17" t="e">
        <f t="shared" si="8"/>
        <v>#N/A</v>
      </c>
      <c r="AA50" s="43" t="e">
        <f t="shared" si="36"/>
        <v>#DIV/0!</v>
      </c>
      <c r="AG50" s="31">
        <f t="shared" si="9"/>
        <v>0</v>
      </c>
      <c r="AH50" s="31">
        <f t="shared" si="10"/>
        <v>0</v>
      </c>
      <c r="AI50" s="28" t="e">
        <f t="shared" si="11"/>
        <v>#N/A</v>
      </c>
      <c r="AJ50" s="28" t="e">
        <f t="shared" si="12"/>
        <v>#N/A</v>
      </c>
      <c r="AK50" s="28" t="e">
        <f t="shared" si="13"/>
        <v>#N/A</v>
      </c>
      <c r="AL50" s="28" t="e">
        <f t="shared" si="14"/>
        <v>#N/A</v>
      </c>
      <c r="AM50" s="28" t="e">
        <f t="shared" si="15"/>
        <v>#N/A</v>
      </c>
      <c r="AN50" s="28" t="e">
        <f t="shared" si="16"/>
        <v>#N/A</v>
      </c>
      <c r="AO50" s="28" t="e">
        <f t="shared" si="17"/>
        <v>#N/A</v>
      </c>
      <c r="AP50" s="28" t="e">
        <f t="shared" si="18"/>
        <v>#N/A</v>
      </c>
      <c r="AQ50" s="28" t="e">
        <f t="shared" si="19"/>
        <v>#N/A</v>
      </c>
      <c r="AR50" s="28" t="e">
        <f t="shared" si="20"/>
        <v>#N/A</v>
      </c>
      <c r="AS50" s="28" t="e">
        <f t="shared" si="21"/>
        <v>#N/A</v>
      </c>
      <c r="AT50" s="28" t="e">
        <f t="shared" si="22"/>
        <v>#N/A</v>
      </c>
      <c r="AU50" s="32"/>
      <c r="AV50" s="31" t="e">
        <f>IF(O50&gt;MAX($V$4:$AE$4),MAX($V$4:$AE$4)-0.1,IF(O50&lt;MIN($V$4:$AE32),MIN($V$4:$AE$4)+0.1,O50))</f>
        <v>#DIV/0!</v>
      </c>
      <c r="AW50" s="31">
        <f t="shared" si="23"/>
        <v>0</v>
      </c>
      <c r="AX50" s="28" t="e">
        <f t="shared" si="24"/>
        <v>#DIV/0!</v>
      </c>
      <c r="AY50" s="28" t="e">
        <f t="shared" si="25"/>
        <v>#DIV/0!</v>
      </c>
      <c r="AZ50" s="28" t="e">
        <f t="shared" si="26"/>
        <v>#DIV/0!</v>
      </c>
      <c r="BA50" s="28" t="e">
        <f t="shared" si="27"/>
        <v>#DIV/0!</v>
      </c>
      <c r="BB50" s="28" t="e">
        <f t="shared" si="28"/>
        <v>#N/A</v>
      </c>
      <c r="BC50" s="28" t="e">
        <f t="shared" si="29"/>
        <v>#N/A</v>
      </c>
      <c r="BD50" s="28" t="e">
        <f t="shared" si="30"/>
        <v>#N/A</v>
      </c>
      <c r="BE50" s="28" t="e">
        <f t="shared" si="31"/>
        <v>#N/A</v>
      </c>
      <c r="BF50" s="28" t="e">
        <f t="shared" si="32"/>
        <v>#DIV/0!</v>
      </c>
      <c r="BG50" s="28" t="e">
        <f t="shared" si="33"/>
        <v>#DIV/0!</v>
      </c>
      <c r="BH50" s="28" t="e">
        <f t="shared" si="34"/>
        <v>#DIV/0!</v>
      </c>
      <c r="BI50" s="28" t="e">
        <f t="shared" si="35"/>
        <v>#DIV/0!</v>
      </c>
    </row>
    <row r="51" spans="2:61" s="16" customFormat="1" ht="75" customHeight="1" x14ac:dyDescent="0.25">
      <c r="B51" s="17"/>
      <c r="C51" s="17"/>
      <c r="D51" s="17"/>
      <c r="E51" s="41"/>
      <c r="F51" s="17"/>
      <c r="G51" s="17"/>
      <c r="H51" s="17"/>
      <c r="I51" s="17"/>
      <c r="J51" s="17"/>
      <c r="K51" s="17"/>
      <c r="L51" s="17"/>
      <c r="M51" s="17" t="e">
        <f t="shared" si="2"/>
        <v>#DIV/0!</v>
      </c>
      <c r="N51" s="17"/>
      <c r="O51" s="17"/>
      <c r="P51" s="17"/>
      <c r="Q51" s="17"/>
      <c r="R51" s="27"/>
      <c r="S51" s="27"/>
      <c r="U51" s="17">
        <f t="shared" si="3"/>
        <v>0</v>
      </c>
      <c r="V51" s="17" t="e">
        <f t="shared" si="4"/>
        <v>#DIV/0!</v>
      </c>
      <c r="W51" s="30" t="e">
        <f t="shared" si="5"/>
        <v>#DIV/0!</v>
      </c>
      <c r="X51" s="17" t="e">
        <f t="shared" si="6"/>
        <v>#N/A</v>
      </c>
      <c r="Y51" s="17" t="e">
        <f t="shared" si="7"/>
        <v>#DIV/0!</v>
      </c>
      <c r="Z51" s="17" t="e">
        <f t="shared" si="8"/>
        <v>#N/A</v>
      </c>
      <c r="AA51" s="43" t="e">
        <f t="shared" si="36"/>
        <v>#DIV/0!</v>
      </c>
      <c r="AG51" s="31">
        <f t="shared" si="9"/>
        <v>0</v>
      </c>
      <c r="AH51" s="31">
        <f t="shared" si="10"/>
        <v>0</v>
      </c>
      <c r="AI51" s="28" t="e">
        <f t="shared" si="11"/>
        <v>#N/A</v>
      </c>
      <c r="AJ51" s="28" t="e">
        <f t="shared" si="12"/>
        <v>#N/A</v>
      </c>
      <c r="AK51" s="28" t="e">
        <f t="shared" si="13"/>
        <v>#N/A</v>
      </c>
      <c r="AL51" s="28" t="e">
        <f t="shared" si="14"/>
        <v>#N/A</v>
      </c>
      <c r="AM51" s="28" t="e">
        <f t="shared" si="15"/>
        <v>#N/A</v>
      </c>
      <c r="AN51" s="28" t="e">
        <f t="shared" si="16"/>
        <v>#N/A</v>
      </c>
      <c r="AO51" s="28" t="e">
        <f t="shared" si="17"/>
        <v>#N/A</v>
      </c>
      <c r="AP51" s="28" t="e">
        <f t="shared" si="18"/>
        <v>#N/A</v>
      </c>
      <c r="AQ51" s="28" t="e">
        <f t="shared" si="19"/>
        <v>#N/A</v>
      </c>
      <c r="AR51" s="28" t="e">
        <f t="shared" si="20"/>
        <v>#N/A</v>
      </c>
      <c r="AS51" s="28" t="e">
        <f t="shared" si="21"/>
        <v>#N/A</v>
      </c>
      <c r="AT51" s="28" t="e">
        <f t="shared" si="22"/>
        <v>#N/A</v>
      </c>
      <c r="AU51" s="32"/>
      <c r="AV51" s="31" t="e">
        <f>IF(O51&gt;MAX($V$4:$AE$4),MAX($V$4:$AE$4)-0.1,IF(O51&lt;MIN($V$4:$AE33),MIN($V$4:$AE$4)+0.1,O51))</f>
        <v>#DIV/0!</v>
      </c>
      <c r="AW51" s="31">
        <f t="shared" si="23"/>
        <v>0</v>
      </c>
      <c r="AX51" s="28" t="e">
        <f t="shared" si="24"/>
        <v>#DIV/0!</v>
      </c>
      <c r="AY51" s="28" t="e">
        <f t="shared" si="25"/>
        <v>#DIV/0!</v>
      </c>
      <c r="AZ51" s="28" t="e">
        <f t="shared" si="26"/>
        <v>#DIV/0!</v>
      </c>
      <c r="BA51" s="28" t="e">
        <f t="shared" si="27"/>
        <v>#DIV/0!</v>
      </c>
      <c r="BB51" s="28" t="e">
        <f t="shared" si="28"/>
        <v>#N/A</v>
      </c>
      <c r="BC51" s="28" t="e">
        <f t="shared" si="29"/>
        <v>#N/A</v>
      </c>
      <c r="BD51" s="28" t="e">
        <f t="shared" si="30"/>
        <v>#N/A</v>
      </c>
      <c r="BE51" s="28" t="e">
        <f t="shared" si="31"/>
        <v>#N/A</v>
      </c>
      <c r="BF51" s="28" t="e">
        <f t="shared" si="32"/>
        <v>#DIV/0!</v>
      </c>
      <c r="BG51" s="28" t="e">
        <f t="shared" si="33"/>
        <v>#DIV/0!</v>
      </c>
      <c r="BH51" s="28" t="e">
        <f t="shared" si="34"/>
        <v>#DIV/0!</v>
      </c>
      <c r="BI51" s="28" t="e">
        <f t="shared" si="35"/>
        <v>#DIV/0!</v>
      </c>
    </row>
    <row r="52" spans="2:61" ht="75" customHeight="1" x14ac:dyDescent="0.25">
      <c r="B52" s="17"/>
      <c r="C52" s="17"/>
      <c r="D52" s="17"/>
      <c r="E52" s="17"/>
      <c r="F52" s="17"/>
      <c r="G52" s="17"/>
      <c r="H52" s="65"/>
      <c r="I52" s="17"/>
      <c r="J52" s="17"/>
      <c r="K52" s="17"/>
      <c r="L52" s="17"/>
      <c r="M52" s="17" t="e">
        <f t="shared" si="2"/>
        <v>#DIV/0!</v>
      </c>
      <c r="N52" s="17"/>
      <c r="O52" s="17"/>
      <c r="P52" s="17"/>
      <c r="Q52" s="17"/>
      <c r="R52" s="17"/>
      <c r="S52" s="17"/>
      <c r="U52" s="17">
        <f t="shared" ref="U52:U115" si="37">Q52/16</f>
        <v>0</v>
      </c>
      <c r="V52" s="17" t="e">
        <f t="shared" ref="V52:V115" si="38">R52/U52</f>
        <v>#DIV/0!</v>
      </c>
      <c r="W52" s="30" t="e">
        <f t="shared" ref="W52:W115" si="39">S52/V52*16</f>
        <v>#DIV/0!</v>
      </c>
      <c r="X52" s="17" t="e">
        <f t="shared" ref="X52:X115" si="40">INT((AQ52+((AR52-AQ52)*(AG52-AK52)/(AL52-AK52)))+(((AS52+((AT52-AS52)*(AG52-AK52)/(AL52-AK52)))-(AQ52+((AR52-AQ52)*(AG52-AK52)/(AL52-AK52))))*(AH52-AO52)/(AP52-AO52)))</f>
        <v>#N/A</v>
      </c>
      <c r="Y52" s="17" t="e">
        <f t="shared" ref="Y52:Y115" si="41">INT((BF52+((BG52-BF52)*(AV52-AZ52)/(BA52-AZ52)))+(((BH52+((BI52-BH52)*(AV52-AZ52)/(BA52-AZ52)))-(BF52+((BG52-BF52)*(AV52-AZ52)/(BA52-AZ52))))*(AW52-BD52)/(BE52-BD52)))</f>
        <v>#DIV/0!</v>
      </c>
      <c r="Z52" s="17" t="e">
        <f t="shared" ref="Z52:Z115" si="42">(X52*(1024-K52)+Y52*K52)/1024</f>
        <v>#N/A</v>
      </c>
      <c r="AA52" s="43" t="e">
        <f t="shared" ref="AA52:AA115" si="43">W52-Z52</f>
        <v>#DIV/0!</v>
      </c>
      <c r="AG52" s="31">
        <f t="shared" ref="AG52:AG115" si="44">IF(O52&gt;MAX($J$4:$S$4),MAX($J$4:$S$4)-0.1,IF(O52&lt;MIN($J$4:$S$4),MIN($J$4:$S$4)+0.1,O52))</f>
        <v>0</v>
      </c>
      <c r="AH52" s="31">
        <f t="shared" ref="AH52:AH115" si="45">IF(P52&gt;MAX($J$5:$S$5),MAX($J$5:$S$5)-0.1,IF(P52&lt;MIN($J$5:$S$5),MIN($J$5:$S$5)+0.1,P52))</f>
        <v>0</v>
      </c>
      <c r="AI52" s="28" t="e">
        <f t="shared" ref="AI52:AI115" si="46">_xlfn.XLOOKUP(AK52,$J$4:$S$4,$J$6:$S$6)</f>
        <v>#N/A</v>
      </c>
      <c r="AJ52" s="28" t="e">
        <f t="shared" ref="AJ52:AJ115" si="47">AI52+1</f>
        <v>#N/A</v>
      </c>
      <c r="AK52" s="28" t="e">
        <f t="shared" ref="AK52:AK115" si="48">HLOOKUP(ROUNDUP(AG52,1),$J$4:$S$4,1,TRUE)</f>
        <v>#N/A</v>
      </c>
      <c r="AL52" s="28" t="e">
        <f t="shared" ref="AL52:AL115" si="49">_xlfn.XLOOKUP(AJ52,$J$6:$S$6,$J$4:$S$4)</f>
        <v>#N/A</v>
      </c>
      <c r="AM52" s="28" t="e">
        <f t="shared" ref="AM52:AM115" si="50">_xlfn.XLOOKUP(AO52,$J$5:$S$5,$J$6:$S$6)</f>
        <v>#N/A</v>
      </c>
      <c r="AN52" s="28" t="e">
        <f t="shared" ref="AN52:AN115" si="51">AM52+1</f>
        <v>#N/A</v>
      </c>
      <c r="AO52" s="28" t="e">
        <f t="shared" ref="AO52:AO115" si="52">HLOOKUP(AH52,$J$5:$S$5,1,TRUE)</f>
        <v>#N/A</v>
      </c>
      <c r="AP52" s="28" t="e">
        <f t="shared" ref="AP52:AP115" si="53">_xlfn.XLOOKUP(AN52,$J$6:$S$6,$J$5:$S$5)</f>
        <v>#N/A</v>
      </c>
      <c r="AQ52" s="28" t="e">
        <f t="shared" ref="AQ52:AQ115" si="54">VLOOKUP(AK52,$I$8:$S$17,AM52+1,FALSE)</f>
        <v>#N/A</v>
      </c>
      <c r="AR52" s="28" t="e">
        <f t="shared" ref="AR52:AR115" si="55">VLOOKUP(AL52,$I$8:$S$17,AM52+1,FALSE)</f>
        <v>#N/A</v>
      </c>
      <c r="AS52" s="28" t="e">
        <f t="shared" ref="AS52:AS115" si="56">VLOOKUP(AK52,$I$8:$S$17,AN52+1,FALSE)</f>
        <v>#N/A</v>
      </c>
      <c r="AT52" s="28" t="e">
        <f t="shared" ref="AT52:AT115" si="57">VLOOKUP(AL52,$I$8:$S$17,AN52+1,FALSE)</f>
        <v>#N/A</v>
      </c>
      <c r="AV52" s="31" t="e">
        <f>IF(O52&gt;MAX($V$4:$AE$4),MAX($V$4:$AE$4)-0.1,IF(O52&lt;MIN($V$4:$AE34),MIN($V$4:$AE$4)+0.1,O52))</f>
        <v>#DIV/0!</v>
      </c>
      <c r="AW52" s="31">
        <f t="shared" ref="AW52:AW115" si="58">IF(P52&gt;MAX($V$5:$AE$5),MAX($V$5:$AE$5)-0.1,IF(P52&lt;MIN($V$5:$AE$5),MIN($V$5:$AE$5)+0.1,P52))</f>
        <v>0</v>
      </c>
      <c r="AX52" s="28" t="e">
        <f t="shared" ref="AX52:AX115" si="59">_xlfn.XLOOKUP(AZ52,$V$4:$AE$4,$V$6:$AE$6)</f>
        <v>#DIV/0!</v>
      </c>
      <c r="AY52" s="28" t="e">
        <f t="shared" ref="AY52:AY115" si="60">AX52+1</f>
        <v>#DIV/0!</v>
      </c>
      <c r="AZ52" s="28" t="e">
        <f t="shared" ref="AZ52:AZ115" si="61">HLOOKUP(ROUNDUP(AV52,1),$V$4:$AE$4,1,TRUE)</f>
        <v>#DIV/0!</v>
      </c>
      <c r="BA52" s="28" t="e">
        <f t="shared" ref="BA52:BA115" si="62">_xlfn.XLOOKUP(AY52,$V$6:$AE$6,$V$4:$AE$4)</f>
        <v>#DIV/0!</v>
      </c>
      <c r="BB52" s="28" t="e">
        <f t="shared" ref="BB52:BB115" si="63">_xlfn.XLOOKUP(BD52,$V$5:$AE$5,$V$6:$AE$6)</f>
        <v>#N/A</v>
      </c>
      <c r="BC52" s="28" t="e">
        <f t="shared" ref="BC52:BC115" si="64">BB52+1</f>
        <v>#N/A</v>
      </c>
      <c r="BD52" s="28" t="e">
        <f t="shared" ref="BD52:BD115" si="65">HLOOKUP(AW52,$V$5:$AE$5,1,TRUE)</f>
        <v>#N/A</v>
      </c>
      <c r="BE52" s="28" t="e">
        <f t="shared" ref="BE52:BE115" si="66">_xlfn.XLOOKUP(BC52,$V$6:$AE$6,$V$5:$AE$5)</f>
        <v>#N/A</v>
      </c>
      <c r="BF52" s="28" t="e">
        <f t="shared" ref="BF52:BF115" si="67">VLOOKUP(AZ52,$U$8:$AE$17,BB52+1,FALSE)</f>
        <v>#DIV/0!</v>
      </c>
      <c r="BG52" s="28" t="e">
        <f t="shared" ref="BG52:BG115" si="68">VLOOKUP(BA52,$U$8:$AE$17,BB52+1,FALSE)</f>
        <v>#DIV/0!</v>
      </c>
      <c r="BH52" s="28" t="e">
        <f t="shared" ref="BH52:BH115" si="69">VLOOKUP(AZ52,$U$8:$AE$17,BC52+1,FALSE)</f>
        <v>#DIV/0!</v>
      </c>
      <c r="BI52" s="28" t="e">
        <f t="shared" ref="BI52:BI115" si="70">VLOOKUP(BA52,$U$8:$AE$17,BC52+1,FALSE)</f>
        <v>#DIV/0!</v>
      </c>
    </row>
    <row r="53" spans="2:61" ht="75" customHeight="1" x14ac:dyDescent="0.25">
      <c r="B53" s="17"/>
      <c r="C53" s="17"/>
      <c r="D53" s="17"/>
      <c r="E53" s="17"/>
      <c r="F53" s="17"/>
      <c r="G53" s="17"/>
      <c r="H53" s="65"/>
      <c r="I53" s="17"/>
      <c r="J53" s="17"/>
      <c r="K53" s="17"/>
      <c r="L53" s="17"/>
      <c r="M53" s="17" t="e">
        <f t="shared" si="2"/>
        <v>#DIV/0!</v>
      </c>
      <c r="N53" s="17"/>
      <c r="O53" s="17"/>
      <c r="P53" s="17"/>
      <c r="Q53" s="17"/>
      <c r="R53" s="17"/>
      <c r="S53" s="17"/>
      <c r="U53" s="17">
        <f t="shared" si="37"/>
        <v>0</v>
      </c>
      <c r="V53" s="17" t="e">
        <f t="shared" si="38"/>
        <v>#DIV/0!</v>
      </c>
      <c r="W53" s="30" t="e">
        <f t="shared" si="39"/>
        <v>#DIV/0!</v>
      </c>
      <c r="X53" s="17" t="e">
        <f t="shared" si="40"/>
        <v>#N/A</v>
      </c>
      <c r="Y53" s="17" t="e">
        <f t="shared" si="41"/>
        <v>#DIV/0!</v>
      </c>
      <c r="Z53" s="17" t="e">
        <f t="shared" si="42"/>
        <v>#N/A</v>
      </c>
      <c r="AA53" s="43" t="e">
        <f t="shared" si="43"/>
        <v>#DIV/0!</v>
      </c>
      <c r="AG53" s="31">
        <f t="shared" si="44"/>
        <v>0</v>
      </c>
      <c r="AH53" s="31">
        <f t="shared" si="45"/>
        <v>0</v>
      </c>
      <c r="AI53" s="28" t="e">
        <f t="shared" si="46"/>
        <v>#N/A</v>
      </c>
      <c r="AJ53" s="28" t="e">
        <f t="shared" si="47"/>
        <v>#N/A</v>
      </c>
      <c r="AK53" s="28" t="e">
        <f t="shared" si="48"/>
        <v>#N/A</v>
      </c>
      <c r="AL53" s="28" t="e">
        <f t="shared" si="49"/>
        <v>#N/A</v>
      </c>
      <c r="AM53" s="28" t="e">
        <f t="shared" si="50"/>
        <v>#N/A</v>
      </c>
      <c r="AN53" s="28" t="e">
        <f t="shared" si="51"/>
        <v>#N/A</v>
      </c>
      <c r="AO53" s="28" t="e">
        <f t="shared" si="52"/>
        <v>#N/A</v>
      </c>
      <c r="AP53" s="28" t="e">
        <f t="shared" si="53"/>
        <v>#N/A</v>
      </c>
      <c r="AQ53" s="28" t="e">
        <f t="shared" si="54"/>
        <v>#N/A</v>
      </c>
      <c r="AR53" s="28" t="e">
        <f t="shared" si="55"/>
        <v>#N/A</v>
      </c>
      <c r="AS53" s="28" t="e">
        <f t="shared" si="56"/>
        <v>#N/A</v>
      </c>
      <c r="AT53" s="28" t="e">
        <f t="shared" si="57"/>
        <v>#N/A</v>
      </c>
      <c r="AV53" s="31" t="e">
        <f>IF(O53&gt;MAX($V$4:$AE$4),MAX($V$4:$AE$4)-0.1,IF(O53&lt;MIN($V$4:$AE35),MIN($V$4:$AE$4)+0.1,O53))</f>
        <v>#DIV/0!</v>
      </c>
      <c r="AW53" s="31">
        <f t="shared" si="58"/>
        <v>0</v>
      </c>
      <c r="AX53" s="28" t="e">
        <f t="shared" si="59"/>
        <v>#DIV/0!</v>
      </c>
      <c r="AY53" s="28" t="e">
        <f t="shared" si="60"/>
        <v>#DIV/0!</v>
      </c>
      <c r="AZ53" s="28" t="e">
        <f t="shared" si="61"/>
        <v>#DIV/0!</v>
      </c>
      <c r="BA53" s="28" t="e">
        <f t="shared" si="62"/>
        <v>#DIV/0!</v>
      </c>
      <c r="BB53" s="28" t="e">
        <f t="shared" si="63"/>
        <v>#N/A</v>
      </c>
      <c r="BC53" s="28" t="e">
        <f t="shared" si="64"/>
        <v>#N/A</v>
      </c>
      <c r="BD53" s="28" t="e">
        <f t="shared" si="65"/>
        <v>#N/A</v>
      </c>
      <c r="BE53" s="28" t="e">
        <f t="shared" si="66"/>
        <v>#N/A</v>
      </c>
      <c r="BF53" s="28" t="e">
        <f t="shared" si="67"/>
        <v>#DIV/0!</v>
      </c>
      <c r="BG53" s="28" t="e">
        <f t="shared" si="68"/>
        <v>#DIV/0!</v>
      </c>
      <c r="BH53" s="28" t="e">
        <f t="shared" si="69"/>
        <v>#DIV/0!</v>
      </c>
      <c r="BI53" s="28" t="e">
        <f t="shared" si="70"/>
        <v>#DIV/0!</v>
      </c>
    </row>
    <row r="54" spans="2:61" ht="75" customHeight="1" x14ac:dyDescent="0.25">
      <c r="B54" s="17"/>
      <c r="C54" s="17"/>
      <c r="D54" s="17"/>
      <c r="E54" s="17"/>
      <c r="F54" s="17"/>
      <c r="G54" s="17"/>
      <c r="H54" s="65"/>
      <c r="I54" s="17"/>
      <c r="J54" s="17"/>
      <c r="K54" s="17"/>
      <c r="L54" s="17"/>
      <c r="M54" s="17" t="e">
        <f t="shared" si="2"/>
        <v>#DIV/0!</v>
      </c>
      <c r="N54" s="17"/>
      <c r="O54" s="17"/>
      <c r="P54" s="17"/>
      <c r="Q54" s="17"/>
      <c r="R54" s="17"/>
      <c r="S54" s="17"/>
      <c r="U54" s="17">
        <f t="shared" si="37"/>
        <v>0</v>
      </c>
      <c r="V54" s="17" t="e">
        <f t="shared" si="38"/>
        <v>#DIV/0!</v>
      </c>
      <c r="W54" s="30" t="e">
        <f t="shared" si="39"/>
        <v>#DIV/0!</v>
      </c>
      <c r="X54" s="17" t="e">
        <f t="shared" si="40"/>
        <v>#N/A</v>
      </c>
      <c r="Y54" s="17" t="e">
        <f t="shared" si="41"/>
        <v>#DIV/0!</v>
      </c>
      <c r="Z54" s="17" t="e">
        <f t="shared" si="42"/>
        <v>#N/A</v>
      </c>
      <c r="AA54" s="43" t="e">
        <f t="shared" si="43"/>
        <v>#DIV/0!</v>
      </c>
      <c r="AG54" s="31">
        <f t="shared" si="44"/>
        <v>0</v>
      </c>
      <c r="AH54" s="31">
        <f t="shared" si="45"/>
        <v>0</v>
      </c>
      <c r="AI54" s="28" t="e">
        <f t="shared" si="46"/>
        <v>#N/A</v>
      </c>
      <c r="AJ54" s="28" t="e">
        <f t="shared" si="47"/>
        <v>#N/A</v>
      </c>
      <c r="AK54" s="28" t="e">
        <f t="shared" si="48"/>
        <v>#N/A</v>
      </c>
      <c r="AL54" s="28" t="e">
        <f t="shared" si="49"/>
        <v>#N/A</v>
      </c>
      <c r="AM54" s="28" t="e">
        <f t="shared" si="50"/>
        <v>#N/A</v>
      </c>
      <c r="AN54" s="28" t="e">
        <f t="shared" si="51"/>
        <v>#N/A</v>
      </c>
      <c r="AO54" s="28" t="e">
        <f t="shared" si="52"/>
        <v>#N/A</v>
      </c>
      <c r="AP54" s="28" t="e">
        <f t="shared" si="53"/>
        <v>#N/A</v>
      </c>
      <c r="AQ54" s="28" t="e">
        <f t="shared" si="54"/>
        <v>#N/A</v>
      </c>
      <c r="AR54" s="28" t="e">
        <f t="shared" si="55"/>
        <v>#N/A</v>
      </c>
      <c r="AS54" s="28" t="e">
        <f t="shared" si="56"/>
        <v>#N/A</v>
      </c>
      <c r="AT54" s="28" t="e">
        <f t="shared" si="57"/>
        <v>#N/A</v>
      </c>
      <c r="AV54" s="31" t="e">
        <f>IF(O54&gt;MAX($V$4:$AE$4),MAX($V$4:$AE$4)-0.1,IF(O54&lt;MIN($V$4:$AE36),MIN($V$4:$AE$4)+0.1,O54))</f>
        <v>#DIV/0!</v>
      </c>
      <c r="AW54" s="31">
        <f t="shared" si="58"/>
        <v>0</v>
      </c>
      <c r="AX54" s="28" t="e">
        <f t="shared" si="59"/>
        <v>#DIV/0!</v>
      </c>
      <c r="AY54" s="28" t="e">
        <f t="shared" si="60"/>
        <v>#DIV/0!</v>
      </c>
      <c r="AZ54" s="28" t="e">
        <f t="shared" si="61"/>
        <v>#DIV/0!</v>
      </c>
      <c r="BA54" s="28" t="e">
        <f t="shared" si="62"/>
        <v>#DIV/0!</v>
      </c>
      <c r="BB54" s="28" t="e">
        <f t="shared" si="63"/>
        <v>#N/A</v>
      </c>
      <c r="BC54" s="28" t="e">
        <f t="shared" si="64"/>
        <v>#N/A</v>
      </c>
      <c r="BD54" s="28" t="e">
        <f t="shared" si="65"/>
        <v>#N/A</v>
      </c>
      <c r="BE54" s="28" t="e">
        <f t="shared" si="66"/>
        <v>#N/A</v>
      </c>
      <c r="BF54" s="28" t="e">
        <f t="shared" si="67"/>
        <v>#DIV/0!</v>
      </c>
      <c r="BG54" s="28" t="e">
        <f t="shared" si="68"/>
        <v>#DIV/0!</v>
      </c>
      <c r="BH54" s="28" t="e">
        <f t="shared" si="69"/>
        <v>#DIV/0!</v>
      </c>
      <c r="BI54" s="28" t="e">
        <f t="shared" si="70"/>
        <v>#DIV/0!</v>
      </c>
    </row>
    <row r="55" spans="2:61" ht="75" customHeight="1" x14ac:dyDescent="0.25">
      <c r="B55" s="17"/>
      <c r="C55" s="17"/>
      <c r="D55" s="17"/>
      <c r="E55" s="17"/>
      <c r="F55" s="17"/>
      <c r="G55" s="17"/>
      <c r="H55" s="65"/>
      <c r="I55" s="17"/>
      <c r="J55" s="17"/>
      <c r="K55" s="17"/>
      <c r="L55" s="17"/>
      <c r="M55" s="17" t="e">
        <f t="shared" si="2"/>
        <v>#DIV/0!</v>
      </c>
      <c r="N55" s="17"/>
      <c r="O55" s="17"/>
      <c r="P55" s="17"/>
      <c r="Q55" s="17"/>
      <c r="R55" s="17"/>
      <c r="S55" s="17"/>
      <c r="U55" s="17">
        <f t="shared" si="37"/>
        <v>0</v>
      </c>
      <c r="V55" s="17" t="e">
        <f t="shared" si="38"/>
        <v>#DIV/0!</v>
      </c>
      <c r="W55" s="30" t="e">
        <f t="shared" si="39"/>
        <v>#DIV/0!</v>
      </c>
      <c r="X55" s="17" t="e">
        <f t="shared" si="40"/>
        <v>#N/A</v>
      </c>
      <c r="Y55" s="17" t="e">
        <f t="shared" si="41"/>
        <v>#DIV/0!</v>
      </c>
      <c r="Z55" s="17" t="e">
        <f t="shared" si="42"/>
        <v>#N/A</v>
      </c>
      <c r="AA55" s="43" t="e">
        <f t="shared" si="43"/>
        <v>#DIV/0!</v>
      </c>
      <c r="AG55" s="31">
        <f t="shared" si="44"/>
        <v>0</v>
      </c>
      <c r="AH55" s="31">
        <f t="shared" si="45"/>
        <v>0</v>
      </c>
      <c r="AI55" s="28" t="e">
        <f t="shared" si="46"/>
        <v>#N/A</v>
      </c>
      <c r="AJ55" s="28" t="e">
        <f t="shared" si="47"/>
        <v>#N/A</v>
      </c>
      <c r="AK55" s="28" t="e">
        <f t="shared" si="48"/>
        <v>#N/A</v>
      </c>
      <c r="AL55" s="28" t="e">
        <f t="shared" si="49"/>
        <v>#N/A</v>
      </c>
      <c r="AM55" s="28" t="e">
        <f t="shared" si="50"/>
        <v>#N/A</v>
      </c>
      <c r="AN55" s="28" t="e">
        <f t="shared" si="51"/>
        <v>#N/A</v>
      </c>
      <c r="AO55" s="28" t="e">
        <f t="shared" si="52"/>
        <v>#N/A</v>
      </c>
      <c r="AP55" s="28" t="e">
        <f t="shared" si="53"/>
        <v>#N/A</v>
      </c>
      <c r="AQ55" s="28" t="e">
        <f t="shared" si="54"/>
        <v>#N/A</v>
      </c>
      <c r="AR55" s="28" t="e">
        <f t="shared" si="55"/>
        <v>#N/A</v>
      </c>
      <c r="AS55" s="28" t="e">
        <f t="shared" si="56"/>
        <v>#N/A</v>
      </c>
      <c r="AT55" s="28" t="e">
        <f t="shared" si="57"/>
        <v>#N/A</v>
      </c>
      <c r="AV55" s="31" t="e">
        <f>IF(O55&gt;MAX($V$4:$AE$4),MAX($V$4:$AE$4)-0.1,IF(O55&lt;MIN($V$4:$AE37),MIN($V$4:$AE$4)+0.1,O55))</f>
        <v>#DIV/0!</v>
      </c>
      <c r="AW55" s="31">
        <f t="shared" si="58"/>
        <v>0</v>
      </c>
      <c r="AX55" s="28" t="e">
        <f t="shared" si="59"/>
        <v>#DIV/0!</v>
      </c>
      <c r="AY55" s="28" t="e">
        <f t="shared" si="60"/>
        <v>#DIV/0!</v>
      </c>
      <c r="AZ55" s="28" t="e">
        <f t="shared" si="61"/>
        <v>#DIV/0!</v>
      </c>
      <c r="BA55" s="28" t="e">
        <f t="shared" si="62"/>
        <v>#DIV/0!</v>
      </c>
      <c r="BB55" s="28" t="e">
        <f t="shared" si="63"/>
        <v>#N/A</v>
      </c>
      <c r="BC55" s="28" t="e">
        <f t="shared" si="64"/>
        <v>#N/A</v>
      </c>
      <c r="BD55" s="28" t="e">
        <f t="shared" si="65"/>
        <v>#N/A</v>
      </c>
      <c r="BE55" s="28" t="e">
        <f t="shared" si="66"/>
        <v>#N/A</v>
      </c>
      <c r="BF55" s="28" t="e">
        <f t="shared" si="67"/>
        <v>#DIV/0!</v>
      </c>
      <c r="BG55" s="28" t="e">
        <f t="shared" si="68"/>
        <v>#DIV/0!</v>
      </c>
      <c r="BH55" s="28" t="e">
        <f t="shared" si="69"/>
        <v>#DIV/0!</v>
      </c>
      <c r="BI55" s="28" t="e">
        <f t="shared" si="70"/>
        <v>#DIV/0!</v>
      </c>
    </row>
    <row r="56" spans="2:61" ht="75" customHeight="1" x14ac:dyDescent="0.25">
      <c r="B56" s="17"/>
      <c r="C56" s="17"/>
      <c r="D56" s="17"/>
      <c r="E56" s="17"/>
      <c r="F56" s="17"/>
      <c r="G56" s="17"/>
      <c r="H56" s="65"/>
      <c r="I56" s="17"/>
      <c r="J56" s="17"/>
      <c r="K56" s="17"/>
      <c r="L56" s="17"/>
      <c r="M56" s="17" t="e">
        <f t="shared" si="2"/>
        <v>#DIV/0!</v>
      </c>
      <c r="N56" s="17"/>
      <c r="O56" s="17"/>
      <c r="P56" s="17"/>
      <c r="Q56" s="17"/>
      <c r="R56" s="17"/>
      <c r="S56" s="17"/>
      <c r="U56" s="17">
        <f t="shared" si="37"/>
        <v>0</v>
      </c>
      <c r="V56" s="17" t="e">
        <f t="shared" si="38"/>
        <v>#DIV/0!</v>
      </c>
      <c r="W56" s="30" t="e">
        <f t="shared" si="39"/>
        <v>#DIV/0!</v>
      </c>
      <c r="X56" s="17" t="e">
        <f t="shared" si="40"/>
        <v>#N/A</v>
      </c>
      <c r="Y56" s="17" t="e">
        <f t="shared" si="41"/>
        <v>#DIV/0!</v>
      </c>
      <c r="Z56" s="17" t="e">
        <f t="shared" si="42"/>
        <v>#N/A</v>
      </c>
      <c r="AA56" s="43" t="e">
        <f t="shared" si="43"/>
        <v>#DIV/0!</v>
      </c>
      <c r="AG56" s="31">
        <f t="shared" si="44"/>
        <v>0</v>
      </c>
      <c r="AH56" s="31">
        <f t="shared" si="45"/>
        <v>0</v>
      </c>
      <c r="AI56" s="28" t="e">
        <f t="shared" si="46"/>
        <v>#N/A</v>
      </c>
      <c r="AJ56" s="28" t="e">
        <f t="shared" si="47"/>
        <v>#N/A</v>
      </c>
      <c r="AK56" s="28" t="e">
        <f t="shared" si="48"/>
        <v>#N/A</v>
      </c>
      <c r="AL56" s="28" t="e">
        <f t="shared" si="49"/>
        <v>#N/A</v>
      </c>
      <c r="AM56" s="28" t="e">
        <f t="shared" si="50"/>
        <v>#N/A</v>
      </c>
      <c r="AN56" s="28" t="e">
        <f t="shared" si="51"/>
        <v>#N/A</v>
      </c>
      <c r="AO56" s="28" t="e">
        <f t="shared" si="52"/>
        <v>#N/A</v>
      </c>
      <c r="AP56" s="28" t="e">
        <f t="shared" si="53"/>
        <v>#N/A</v>
      </c>
      <c r="AQ56" s="28" t="e">
        <f t="shared" si="54"/>
        <v>#N/A</v>
      </c>
      <c r="AR56" s="28" t="e">
        <f t="shared" si="55"/>
        <v>#N/A</v>
      </c>
      <c r="AS56" s="28" t="e">
        <f t="shared" si="56"/>
        <v>#N/A</v>
      </c>
      <c r="AT56" s="28" t="e">
        <f t="shared" si="57"/>
        <v>#N/A</v>
      </c>
      <c r="AV56" s="31" t="e">
        <f>IF(O56&gt;MAX($V$4:$AE$4),MAX($V$4:$AE$4)-0.1,IF(O56&lt;MIN($V$4:$AE38),MIN($V$4:$AE$4)+0.1,O56))</f>
        <v>#DIV/0!</v>
      </c>
      <c r="AW56" s="31">
        <f t="shared" si="58"/>
        <v>0</v>
      </c>
      <c r="AX56" s="28" t="e">
        <f t="shared" si="59"/>
        <v>#DIV/0!</v>
      </c>
      <c r="AY56" s="28" t="e">
        <f t="shared" si="60"/>
        <v>#DIV/0!</v>
      </c>
      <c r="AZ56" s="28" t="e">
        <f t="shared" si="61"/>
        <v>#DIV/0!</v>
      </c>
      <c r="BA56" s="28" t="e">
        <f t="shared" si="62"/>
        <v>#DIV/0!</v>
      </c>
      <c r="BB56" s="28" t="e">
        <f t="shared" si="63"/>
        <v>#N/A</v>
      </c>
      <c r="BC56" s="28" t="e">
        <f t="shared" si="64"/>
        <v>#N/A</v>
      </c>
      <c r="BD56" s="28" t="e">
        <f t="shared" si="65"/>
        <v>#N/A</v>
      </c>
      <c r="BE56" s="28" t="e">
        <f t="shared" si="66"/>
        <v>#N/A</v>
      </c>
      <c r="BF56" s="28" t="e">
        <f t="shared" si="67"/>
        <v>#DIV/0!</v>
      </c>
      <c r="BG56" s="28" t="e">
        <f t="shared" si="68"/>
        <v>#DIV/0!</v>
      </c>
      <c r="BH56" s="28" t="e">
        <f t="shared" si="69"/>
        <v>#DIV/0!</v>
      </c>
      <c r="BI56" s="28" t="e">
        <f t="shared" si="70"/>
        <v>#DIV/0!</v>
      </c>
    </row>
    <row r="57" spans="2:61" ht="75" customHeight="1" x14ac:dyDescent="0.25">
      <c r="B57" s="17"/>
      <c r="C57" s="17"/>
      <c r="D57" s="17"/>
      <c r="E57" s="17"/>
      <c r="F57" s="17"/>
      <c r="G57" s="17"/>
      <c r="H57" s="65"/>
      <c r="I57" s="17"/>
      <c r="J57" s="17"/>
      <c r="K57" s="17"/>
      <c r="L57" s="17"/>
      <c r="M57" s="17" t="e">
        <f t="shared" si="2"/>
        <v>#DIV/0!</v>
      </c>
      <c r="N57" s="17"/>
      <c r="O57" s="17"/>
      <c r="P57" s="17"/>
      <c r="Q57" s="17"/>
      <c r="R57" s="17"/>
      <c r="S57" s="17"/>
      <c r="U57" s="17">
        <f t="shared" si="37"/>
        <v>0</v>
      </c>
      <c r="V57" s="17" t="e">
        <f t="shared" si="38"/>
        <v>#DIV/0!</v>
      </c>
      <c r="W57" s="30" t="e">
        <f t="shared" si="39"/>
        <v>#DIV/0!</v>
      </c>
      <c r="X57" s="17" t="e">
        <f t="shared" si="40"/>
        <v>#N/A</v>
      </c>
      <c r="Y57" s="17" t="e">
        <f t="shared" si="41"/>
        <v>#DIV/0!</v>
      </c>
      <c r="Z57" s="17" t="e">
        <f t="shared" si="42"/>
        <v>#N/A</v>
      </c>
      <c r="AA57" s="43" t="e">
        <f t="shared" si="43"/>
        <v>#DIV/0!</v>
      </c>
      <c r="AG57" s="31">
        <f t="shared" si="44"/>
        <v>0</v>
      </c>
      <c r="AH57" s="31">
        <f t="shared" si="45"/>
        <v>0</v>
      </c>
      <c r="AI57" s="28" t="e">
        <f t="shared" si="46"/>
        <v>#N/A</v>
      </c>
      <c r="AJ57" s="28" t="e">
        <f t="shared" si="47"/>
        <v>#N/A</v>
      </c>
      <c r="AK57" s="28" t="e">
        <f t="shared" si="48"/>
        <v>#N/A</v>
      </c>
      <c r="AL57" s="28" t="e">
        <f t="shared" si="49"/>
        <v>#N/A</v>
      </c>
      <c r="AM57" s="28" t="e">
        <f t="shared" si="50"/>
        <v>#N/A</v>
      </c>
      <c r="AN57" s="28" t="e">
        <f t="shared" si="51"/>
        <v>#N/A</v>
      </c>
      <c r="AO57" s="28" t="e">
        <f t="shared" si="52"/>
        <v>#N/A</v>
      </c>
      <c r="AP57" s="28" t="e">
        <f t="shared" si="53"/>
        <v>#N/A</v>
      </c>
      <c r="AQ57" s="28" t="e">
        <f t="shared" si="54"/>
        <v>#N/A</v>
      </c>
      <c r="AR57" s="28" t="e">
        <f t="shared" si="55"/>
        <v>#N/A</v>
      </c>
      <c r="AS57" s="28" t="e">
        <f t="shared" si="56"/>
        <v>#N/A</v>
      </c>
      <c r="AT57" s="28" t="e">
        <f t="shared" si="57"/>
        <v>#N/A</v>
      </c>
      <c r="AV57" s="31" t="e">
        <f>IF(O57&gt;MAX($V$4:$AE$4),MAX($V$4:$AE$4)-0.1,IF(O57&lt;MIN($V$4:$AE39),MIN($V$4:$AE$4)+0.1,O57))</f>
        <v>#DIV/0!</v>
      </c>
      <c r="AW57" s="31">
        <f t="shared" si="58"/>
        <v>0</v>
      </c>
      <c r="AX57" s="28" t="e">
        <f t="shared" si="59"/>
        <v>#DIV/0!</v>
      </c>
      <c r="AY57" s="28" t="e">
        <f t="shared" si="60"/>
        <v>#DIV/0!</v>
      </c>
      <c r="AZ57" s="28" t="e">
        <f t="shared" si="61"/>
        <v>#DIV/0!</v>
      </c>
      <c r="BA57" s="28" t="e">
        <f t="shared" si="62"/>
        <v>#DIV/0!</v>
      </c>
      <c r="BB57" s="28" t="e">
        <f t="shared" si="63"/>
        <v>#N/A</v>
      </c>
      <c r="BC57" s="28" t="e">
        <f t="shared" si="64"/>
        <v>#N/A</v>
      </c>
      <c r="BD57" s="28" t="e">
        <f t="shared" si="65"/>
        <v>#N/A</v>
      </c>
      <c r="BE57" s="28" t="e">
        <f t="shared" si="66"/>
        <v>#N/A</v>
      </c>
      <c r="BF57" s="28" t="e">
        <f t="shared" si="67"/>
        <v>#DIV/0!</v>
      </c>
      <c r="BG57" s="28" t="e">
        <f t="shared" si="68"/>
        <v>#DIV/0!</v>
      </c>
      <c r="BH57" s="28" t="e">
        <f t="shared" si="69"/>
        <v>#DIV/0!</v>
      </c>
      <c r="BI57" s="28" t="e">
        <f t="shared" si="70"/>
        <v>#DIV/0!</v>
      </c>
    </row>
    <row r="58" spans="2:61" ht="75" customHeight="1" x14ac:dyDescent="0.25">
      <c r="B58" s="17"/>
      <c r="C58" s="17"/>
      <c r="D58" s="17"/>
      <c r="E58" s="17"/>
      <c r="F58" s="17"/>
      <c r="G58" s="17"/>
      <c r="H58" s="65"/>
      <c r="I58" s="17"/>
      <c r="J58" s="17"/>
      <c r="K58" s="17"/>
      <c r="L58" s="17"/>
      <c r="M58" s="17" t="e">
        <f t="shared" si="2"/>
        <v>#DIV/0!</v>
      </c>
      <c r="N58" s="17"/>
      <c r="O58" s="17"/>
      <c r="P58" s="17"/>
      <c r="Q58" s="17"/>
      <c r="R58" s="17"/>
      <c r="S58" s="17"/>
      <c r="U58" s="17">
        <f t="shared" si="37"/>
        <v>0</v>
      </c>
      <c r="V58" s="17" t="e">
        <f t="shared" si="38"/>
        <v>#DIV/0!</v>
      </c>
      <c r="W58" s="30" t="e">
        <f t="shared" si="39"/>
        <v>#DIV/0!</v>
      </c>
      <c r="X58" s="17" t="e">
        <f t="shared" si="40"/>
        <v>#N/A</v>
      </c>
      <c r="Y58" s="17" t="e">
        <f t="shared" si="41"/>
        <v>#DIV/0!</v>
      </c>
      <c r="Z58" s="17" t="e">
        <f t="shared" si="42"/>
        <v>#N/A</v>
      </c>
      <c r="AA58" s="43" t="e">
        <f t="shared" si="43"/>
        <v>#DIV/0!</v>
      </c>
      <c r="AG58" s="31">
        <f t="shared" si="44"/>
        <v>0</v>
      </c>
      <c r="AH58" s="31">
        <f t="shared" si="45"/>
        <v>0</v>
      </c>
      <c r="AI58" s="28" t="e">
        <f t="shared" si="46"/>
        <v>#N/A</v>
      </c>
      <c r="AJ58" s="28" t="e">
        <f t="shared" si="47"/>
        <v>#N/A</v>
      </c>
      <c r="AK58" s="28" t="e">
        <f t="shared" si="48"/>
        <v>#N/A</v>
      </c>
      <c r="AL58" s="28" t="e">
        <f t="shared" si="49"/>
        <v>#N/A</v>
      </c>
      <c r="AM58" s="28" t="e">
        <f t="shared" si="50"/>
        <v>#N/A</v>
      </c>
      <c r="AN58" s="28" t="e">
        <f t="shared" si="51"/>
        <v>#N/A</v>
      </c>
      <c r="AO58" s="28" t="e">
        <f t="shared" si="52"/>
        <v>#N/A</v>
      </c>
      <c r="AP58" s="28" t="e">
        <f t="shared" si="53"/>
        <v>#N/A</v>
      </c>
      <c r="AQ58" s="28" t="e">
        <f t="shared" si="54"/>
        <v>#N/A</v>
      </c>
      <c r="AR58" s="28" t="e">
        <f t="shared" si="55"/>
        <v>#N/A</v>
      </c>
      <c r="AS58" s="28" t="e">
        <f t="shared" si="56"/>
        <v>#N/A</v>
      </c>
      <c r="AT58" s="28" t="e">
        <f t="shared" si="57"/>
        <v>#N/A</v>
      </c>
      <c r="AV58" s="31" t="e">
        <f>IF(O58&gt;MAX($V$4:$AE$4),MAX($V$4:$AE$4)-0.1,IF(O58&lt;MIN($V$4:$AE40),MIN($V$4:$AE$4)+0.1,O58))</f>
        <v>#DIV/0!</v>
      </c>
      <c r="AW58" s="31">
        <f t="shared" si="58"/>
        <v>0</v>
      </c>
      <c r="AX58" s="28" t="e">
        <f t="shared" si="59"/>
        <v>#DIV/0!</v>
      </c>
      <c r="AY58" s="28" t="e">
        <f t="shared" si="60"/>
        <v>#DIV/0!</v>
      </c>
      <c r="AZ58" s="28" t="e">
        <f t="shared" si="61"/>
        <v>#DIV/0!</v>
      </c>
      <c r="BA58" s="28" t="e">
        <f t="shared" si="62"/>
        <v>#DIV/0!</v>
      </c>
      <c r="BB58" s="28" t="e">
        <f t="shared" si="63"/>
        <v>#N/A</v>
      </c>
      <c r="BC58" s="28" t="e">
        <f t="shared" si="64"/>
        <v>#N/A</v>
      </c>
      <c r="BD58" s="28" t="e">
        <f t="shared" si="65"/>
        <v>#N/A</v>
      </c>
      <c r="BE58" s="28" t="e">
        <f t="shared" si="66"/>
        <v>#N/A</v>
      </c>
      <c r="BF58" s="28" t="e">
        <f t="shared" si="67"/>
        <v>#DIV/0!</v>
      </c>
      <c r="BG58" s="28" t="e">
        <f t="shared" si="68"/>
        <v>#DIV/0!</v>
      </c>
      <c r="BH58" s="28" t="e">
        <f t="shared" si="69"/>
        <v>#DIV/0!</v>
      </c>
      <c r="BI58" s="28" t="e">
        <f t="shared" si="70"/>
        <v>#DIV/0!</v>
      </c>
    </row>
    <row r="59" spans="2:61" ht="75" customHeight="1" x14ac:dyDescent="0.25">
      <c r="B59" s="17"/>
      <c r="C59" s="17"/>
      <c r="D59" s="17"/>
      <c r="E59" s="17"/>
      <c r="F59" s="17"/>
      <c r="G59" s="17"/>
      <c r="H59" s="65"/>
      <c r="I59" s="17"/>
      <c r="J59" s="17"/>
      <c r="K59" s="17"/>
      <c r="L59" s="17"/>
      <c r="M59" s="17" t="e">
        <f t="shared" si="2"/>
        <v>#DIV/0!</v>
      </c>
      <c r="N59" s="17"/>
      <c r="O59" s="17"/>
      <c r="P59" s="17"/>
      <c r="Q59" s="17"/>
      <c r="R59" s="17"/>
      <c r="S59" s="17"/>
      <c r="U59" s="17">
        <f t="shared" si="37"/>
        <v>0</v>
      </c>
      <c r="V59" s="17" t="e">
        <f t="shared" si="38"/>
        <v>#DIV/0!</v>
      </c>
      <c r="W59" s="30" t="e">
        <f t="shared" si="39"/>
        <v>#DIV/0!</v>
      </c>
      <c r="X59" s="17" t="e">
        <f t="shared" si="40"/>
        <v>#N/A</v>
      </c>
      <c r="Y59" s="17" t="e">
        <f t="shared" si="41"/>
        <v>#DIV/0!</v>
      </c>
      <c r="Z59" s="17" t="e">
        <f t="shared" si="42"/>
        <v>#N/A</v>
      </c>
      <c r="AA59" s="43" t="e">
        <f t="shared" si="43"/>
        <v>#DIV/0!</v>
      </c>
      <c r="AG59" s="31">
        <f t="shared" si="44"/>
        <v>0</v>
      </c>
      <c r="AH59" s="31">
        <f t="shared" si="45"/>
        <v>0</v>
      </c>
      <c r="AI59" s="28" t="e">
        <f t="shared" si="46"/>
        <v>#N/A</v>
      </c>
      <c r="AJ59" s="28" t="e">
        <f t="shared" si="47"/>
        <v>#N/A</v>
      </c>
      <c r="AK59" s="28" t="e">
        <f t="shared" si="48"/>
        <v>#N/A</v>
      </c>
      <c r="AL59" s="28" t="e">
        <f t="shared" si="49"/>
        <v>#N/A</v>
      </c>
      <c r="AM59" s="28" t="e">
        <f t="shared" si="50"/>
        <v>#N/A</v>
      </c>
      <c r="AN59" s="28" t="e">
        <f t="shared" si="51"/>
        <v>#N/A</v>
      </c>
      <c r="AO59" s="28" t="e">
        <f t="shared" si="52"/>
        <v>#N/A</v>
      </c>
      <c r="AP59" s="28" t="e">
        <f t="shared" si="53"/>
        <v>#N/A</v>
      </c>
      <c r="AQ59" s="28" t="e">
        <f t="shared" si="54"/>
        <v>#N/A</v>
      </c>
      <c r="AR59" s="28" t="e">
        <f t="shared" si="55"/>
        <v>#N/A</v>
      </c>
      <c r="AS59" s="28" t="e">
        <f t="shared" si="56"/>
        <v>#N/A</v>
      </c>
      <c r="AT59" s="28" t="e">
        <f t="shared" si="57"/>
        <v>#N/A</v>
      </c>
      <c r="AV59" s="31" t="e">
        <f>IF(O59&gt;MAX($V$4:$AE$4),MAX($V$4:$AE$4)-0.1,IF(O59&lt;MIN($V$4:$AE41),MIN($V$4:$AE$4)+0.1,O59))</f>
        <v>#DIV/0!</v>
      </c>
      <c r="AW59" s="31">
        <f t="shared" si="58"/>
        <v>0</v>
      </c>
      <c r="AX59" s="28" t="e">
        <f t="shared" si="59"/>
        <v>#DIV/0!</v>
      </c>
      <c r="AY59" s="28" t="e">
        <f t="shared" si="60"/>
        <v>#DIV/0!</v>
      </c>
      <c r="AZ59" s="28" t="e">
        <f t="shared" si="61"/>
        <v>#DIV/0!</v>
      </c>
      <c r="BA59" s="28" t="e">
        <f t="shared" si="62"/>
        <v>#DIV/0!</v>
      </c>
      <c r="BB59" s="28" t="e">
        <f t="shared" si="63"/>
        <v>#N/A</v>
      </c>
      <c r="BC59" s="28" t="e">
        <f t="shared" si="64"/>
        <v>#N/A</v>
      </c>
      <c r="BD59" s="28" t="e">
        <f t="shared" si="65"/>
        <v>#N/A</v>
      </c>
      <c r="BE59" s="28" t="e">
        <f t="shared" si="66"/>
        <v>#N/A</v>
      </c>
      <c r="BF59" s="28" t="e">
        <f t="shared" si="67"/>
        <v>#DIV/0!</v>
      </c>
      <c r="BG59" s="28" t="e">
        <f t="shared" si="68"/>
        <v>#DIV/0!</v>
      </c>
      <c r="BH59" s="28" t="e">
        <f t="shared" si="69"/>
        <v>#DIV/0!</v>
      </c>
      <c r="BI59" s="28" t="e">
        <f t="shared" si="70"/>
        <v>#DIV/0!</v>
      </c>
    </row>
    <row r="60" spans="2:61" ht="75" customHeight="1" x14ac:dyDescent="0.25">
      <c r="B60" s="17"/>
      <c r="C60" s="17"/>
      <c r="D60" s="17"/>
      <c r="E60" s="17"/>
      <c r="F60" s="17"/>
      <c r="G60" s="17"/>
      <c r="H60" s="65"/>
      <c r="I60" s="17"/>
      <c r="J60" s="17"/>
      <c r="K60" s="17"/>
      <c r="L60" s="17"/>
      <c r="M60" s="17" t="e">
        <f t="shared" si="2"/>
        <v>#DIV/0!</v>
      </c>
      <c r="N60" s="17"/>
      <c r="O60" s="17"/>
      <c r="P60" s="17"/>
      <c r="Q60" s="17"/>
      <c r="R60" s="17"/>
      <c r="S60" s="17"/>
      <c r="U60" s="17">
        <f t="shared" si="37"/>
        <v>0</v>
      </c>
      <c r="V60" s="17" t="e">
        <f t="shared" si="38"/>
        <v>#DIV/0!</v>
      </c>
      <c r="W60" s="30" t="e">
        <f t="shared" si="39"/>
        <v>#DIV/0!</v>
      </c>
      <c r="X60" s="17" t="e">
        <f t="shared" si="40"/>
        <v>#N/A</v>
      </c>
      <c r="Y60" s="17" t="e">
        <f t="shared" si="41"/>
        <v>#DIV/0!</v>
      </c>
      <c r="Z60" s="17" t="e">
        <f t="shared" si="42"/>
        <v>#N/A</v>
      </c>
      <c r="AA60" s="43" t="e">
        <f t="shared" si="43"/>
        <v>#DIV/0!</v>
      </c>
      <c r="AG60" s="31">
        <f t="shared" si="44"/>
        <v>0</v>
      </c>
      <c r="AH60" s="31">
        <f t="shared" si="45"/>
        <v>0</v>
      </c>
      <c r="AI60" s="28" t="e">
        <f t="shared" si="46"/>
        <v>#N/A</v>
      </c>
      <c r="AJ60" s="28" t="e">
        <f t="shared" si="47"/>
        <v>#N/A</v>
      </c>
      <c r="AK60" s="28" t="e">
        <f t="shared" si="48"/>
        <v>#N/A</v>
      </c>
      <c r="AL60" s="28" t="e">
        <f t="shared" si="49"/>
        <v>#N/A</v>
      </c>
      <c r="AM60" s="28" t="e">
        <f t="shared" si="50"/>
        <v>#N/A</v>
      </c>
      <c r="AN60" s="28" t="e">
        <f t="shared" si="51"/>
        <v>#N/A</v>
      </c>
      <c r="AO60" s="28" t="e">
        <f t="shared" si="52"/>
        <v>#N/A</v>
      </c>
      <c r="AP60" s="28" t="e">
        <f t="shared" si="53"/>
        <v>#N/A</v>
      </c>
      <c r="AQ60" s="28" t="e">
        <f t="shared" si="54"/>
        <v>#N/A</v>
      </c>
      <c r="AR60" s="28" t="e">
        <f t="shared" si="55"/>
        <v>#N/A</v>
      </c>
      <c r="AS60" s="28" t="e">
        <f t="shared" si="56"/>
        <v>#N/A</v>
      </c>
      <c r="AT60" s="28" t="e">
        <f t="shared" si="57"/>
        <v>#N/A</v>
      </c>
      <c r="AV60" s="31" t="e">
        <f>IF(O60&gt;MAX($V$4:$AE$4),MAX($V$4:$AE$4)-0.1,IF(O60&lt;MIN($V$4:$AE42),MIN($V$4:$AE$4)+0.1,O60))</f>
        <v>#DIV/0!</v>
      </c>
      <c r="AW60" s="31">
        <f t="shared" si="58"/>
        <v>0</v>
      </c>
      <c r="AX60" s="28" t="e">
        <f t="shared" si="59"/>
        <v>#DIV/0!</v>
      </c>
      <c r="AY60" s="28" t="e">
        <f t="shared" si="60"/>
        <v>#DIV/0!</v>
      </c>
      <c r="AZ60" s="28" t="e">
        <f t="shared" si="61"/>
        <v>#DIV/0!</v>
      </c>
      <c r="BA60" s="28" t="e">
        <f t="shared" si="62"/>
        <v>#DIV/0!</v>
      </c>
      <c r="BB60" s="28" t="e">
        <f t="shared" si="63"/>
        <v>#N/A</v>
      </c>
      <c r="BC60" s="28" t="e">
        <f t="shared" si="64"/>
        <v>#N/A</v>
      </c>
      <c r="BD60" s="28" t="e">
        <f t="shared" si="65"/>
        <v>#N/A</v>
      </c>
      <c r="BE60" s="28" t="e">
        <f t="shared" si="66"/>
        <v>#N/A</v>
      </c>
      <c r="BF60" s="28" t="e">
        <f t="shared" si="67"/>
        <v>#DIV/0!</v>
      </c>
      <c r="BG60" s="28" t="e">
        <f t="shared" si="68"/>
        <v>#DIV/0!</v>
      </c>
      <c r="BH60" s="28" t="e">
        <f t="shared" si="69"/>
        <v>#DIV/0!</v>
      </c>
      <c r="BI60" s="28" t="e">
        <f t="shared" si="70"/>
        <v>#DIV/0!</v>
      </c>
    </row>
    <row r="61" spans="2:61" ht="75" customHeight="1" x14ac:dyDescent="0.25">
      <c r="B61" s="17"/>
      <c r="C61" s="17"/>
      <c r="D61" s="17"/>
      <c r="E61" s="17"/>
      <c r="F61" s="17"/>
      <c r="G61" s="17"/>
      <c r="H61" s="65"/>
      <c r="I61" s="17"/>
      <c r="J61" s="17"/>
      <c r="K61" s="17"/>
      <c r="L61" s="17"/>
      <c r="M61" s="17" t="e">
        <f t="shared" si="2"/>
        <v>#DIV/0!</v>
      </c>
      <c r="N61" s="17"/>
      <c r="O61" s="17"/>
      <c r="P61" s="17"/>
      <c r="Q61" s="17"/>
      <c r="R61" s="17"/>
      <c r="S61" s="17"/>
      <c r="U61" s="17">
        <f t="shared" si="37"/>
        <v>0</v>
      </c>
      <c r="V61" s="17" t="e">
        <f t="shared" si="38"/>
        <v>#DIV/0!</v>
      </c>
      <c r="W61" s="30" t="e">
        <f t="shared" si="39"/>
        <v>#DIV/0!</v>
      </c>
      <c r="X61" s="17" t="e">
        <f t="shared" si="40"/>
        <v>#N/A</v>
      </c>
      <c r="Y61" s="17" t="e">
        <f t="shared" si="41"/>
        <v>#DIV/0!</v>
      </c>
      <c r="Z61" s="17" t="e">
        <f t="shared" si="42"/>
        <v>#N/A</v>
      </c>
      <c r="AA61" s="43" t="e">
        <f t="shared" si="43"/>
        <v>#DIV/0!</v>
      </c>
      <c r="AG61" s="31">
        <f t="shared" si="44"/>
        <v>0</v>
      </c>
      <c r="AH61" s="31">
        <f t="shared" si="45"/>
        <v>0</v>
      </c>
      <c r="AI61" s="28" t="e">
        <f t="shared" si="46"/>
        <v>#N/A</v>
      </c>
      <c r="AJ61" s="28" t="e">
        <f t="shared" si="47"/>
        <v>#N/A</v>
      </c>
      <c r="AK61" s="28" t="e">
        <f t="shared" si="48"/>
        <v>#N/A</v>
      </c>
      <c r="AL61" s="28" t="e">
        <f t="shared" si="49"/>
        <v>#N/A</v>
      </c>
      <c r="AM61" s="28" t="e">
        <f t="shared" si="50"/>
        <v>#N/A</v>
      </c>
      <c r="AN61" s="28" t="e">
        <f t="shared" si="51"/>
        <v>#N/A</v>
      </c>
      <c r="AO61" s="28" t="e">
        <f t="shared" si="52"/>
        <v>#N/A</v>
      </c>
      <c r="AP61" s="28" t="e">
        <f t="shared" si="53"/>
        <v>#N/A</v>
      </c>
      <c r="AQ61" s="28" t="e">
        <f t="shared" si="54"/>
        <v>#N/A</v>
      </c>
      <c r="AR61" s="28" t="e">
        <f t="shared" si="55"/>
        <v>#N/A</v>
      </c>
      <c r="AS61" s="28" t="e">
        <f t="shared" si="56"/>
        <v>#N/A</v>
      </c>
      <c r="AT61" s="28" t="e">
        <f t="shared" si="57"/>
        <v>#N/A</v>
      </c>
      <c r="AV61" s="31" t="e">
        <f>IF(O61&gt;MAX($V$4:$AE$4),MAX($V$4:$AE$4)-0.1,IF(O61&lt;MIN($V$4:$AE43),MIN($V$4:$AE$4)+0.1,O61))</f>
        <v>#DIV/0!</v>
      </c>
      <c r="AW61" s="31">
        <f t="shared" si="58"/>
        <v>0</v>
      </c>
      <c r="AX61" s="28" t="e">
        <f t="shared" si="59"/>
        <v>#DIV/0!</v>
      </c>
      <c r="AY61" s="28" t="e">
        <f t="shared" si="60"/>
        <v>#DIV/0!</v>
      </c>
      <c r="AZ61" s="28" t="e">
        <f t="shared" si="61"/>
        <v>#DIV/0!</v>
      </c>
      <c r="BA61" s="28" t="e">
        <f t="shared" si="62"/>
        <v>#DIV/0!</v>
      </c>
      <c r="BB61" s="28" t="e">
        <f t="shared" si="63"/>
        <v>#N/A</v>
      </c>
      <c r="BC61" s="28" t="e">
        <f t="shared" si="64"/>
        <v>#N/A</v>
      </c>
      <c r="BD61" s="28" t="e">
        <f t="shared" si="65"/>
        <v>#N/A</v>
      </c>
      <c r="BE61" s="28" t="e">
        <f t="shared" si="66"/>
        <v>#N/A</v>
      </c>
      <c r="BF61" s="28" t="e">
        <f t="shared" si="67"/>
        <v>#DIV/0!</v>
      </c>
      <c r="BG61" s="28" t="e">
        <f t="shared" si="68"/>
        <v>#DIV/0!</v>
      </c>
      <c r="BH61" s="28" t="e">
        <f t="shared" si="69"/>
        <v>#DIV/0!</v>
      </c>
      <c r="BI61" s="28" t="e">
        <f t="shared" si="70"/>
        <v>#DIV/0!</v>
      </c>
    </row>
    <row r="62" spans="2:61" ht="75" customHeight="1" x14ac:dyDescent="0.25">
      <c r="B62" s="17"/>
      <c r="C62" s="17"/>
      <c r="D62" s="17"/>
      <c r="E62" s="17"/>
      <c r="F62" s="17"/>
      <c r="G62" s="17"/>
      <c r="H62" s="65"/>
      <c r="I62" s="17"/>
      <c r="J62" s="17"/>
      <c r="K62" s="17"/>
      <c r="L62" s="17"/>
      <c r="M62" s="17" t="e">
        <f t="shared" si="2"/>
        <v>#DIV/0!</v>
      </c>
      <c r="N62" s="17"/>
      <c r="O62" s="17"/>
      <c r="P62" s="17"/>
      <c r="Q62" s="17"/>
      <c r="R62" s="17"/>
      <c r="S62" s="17"/>
      <c r="U62" s="17">
        <f t="shared" si="37"/>
        <v>0</v>
      </c>
      <c r="V62" s="17" t="e">
        <f t="shared" si="38"/>
        <v>#DIV/0!</v>
      </c>
      <c r="W62" s="30" t="e">
        <f t="shared" si="39"/>
        <v>#DIV/0!</v>
      </c>
      <c r="X62" s="17" t="e">
        <f t="shared" si="40"/>
        <v>#N/A</v>
      </c>
      <c r="Y62" s="17" t="e">
        <f t="shared" si="41"/>
        <v>#DIV/0!</v>
      </c>
      <c r="Z62" s="17" t="e">
        <f t="shared" si="42"/>
        <v>#N/A</v>
      </c>
      <c r="AA62" s="43" t="e">
        <f t="shared" si="43"/>
        <v>#DIV/0!</v>
      </c>
      <c r="AG62" s="31">
        <f t="shared" si="44"/>
        <v>0</v>
      </c>
      <c r="AH62" s="31">
        <f t="shared" si="45"/>
        <v>0</v>
      </c>
      <c r="AI62" s="28" t="e">
        <f t="shared" si="46"/>
        <v>#N/A</v>
      </c>
      <c r="AJ62" s="28" t="e">
        <f t="shared" si="47"/>
        <v>#N/A</v>
      </c>
      <c r="AK62" s="28" t="e">
        <f t="shared" si="48"/>
        <v>#N/A</v>
      </c>
      <c r="AL62" s="28" t="e">
        <f t="shared" si="49"/>
        <v>#N/A</v>
      </c>
      <c r="AM62" s="28" t="e">
        <f t="shared" si="50"/>
        <v>#N/A</v>
      </c>
      <c r="AN62" s="28" t="e">
        <f t="shared" si="51"/>
        <v>#N/A</v>
      </c>
      <c r="AO62" s="28" t="e">
        <f t="shared" si="52"/>
        <v>#N/A</v>
      </c>
      <c r="AP62" s="28" t="e">
        <f t="shared" si="53"/>
        <v>#N/A</v>
      </c>
      <c r="AQ62" s="28" t="e">
        <f t="shared" si="54"/>
        <v>#N/A</v>
      </c>
      <c r="AR62" s="28" t="e">
        <f t="shared" si="55"/>
        <v>#N/A</v>
      </c>
      <c r="AS62" s="28" t="e">
        <f t="shared" si="56"/>
        <v>#N/A</v>
      </c>
      <c r="AT62" s="28" t="e">
        <f t="shared" si="57"/>
        <v>#N/A</v>
      </c>
      <c r="AV62" s="31" t="e">
        <f>IF(O62&gt;MAX($V$4:$AE$4),MAX($V$4:$AE$4)-0.1,IF(O62&lt;MIN($V$4:$AE44),MIN($V$4:$AE$4)+0.1,O62))</f>
        <v>#DIV/0!</v>
      </c>
      <c r="AW62" s="31">
        <f t="shared" si="58"/>
        <v>0</v>
      </c>
      <c r="AX62" s="28" t="e">
        <f t="shared" si="59"/>
        <v>#DIV/0!</v>
      </c>
      <c r="AY62" s="28" t="e">
        <f t="shared" si="60"/>
        <v>#DIV/0!</v>
      </c>
      <c r="AZ62" s="28" t="e">
        <f t="shared" si="61"/>
        <v>#DIV/0!</v>
      </c>
      <c r="BA62" s="28" t="e">
        <f t="shared" si="62"/>
        <v>#DIV/0!</v>
      </c>
      <c r="BB62" s="28" t="e">
        <f t="shared" si="63"/>
        <v>#N/A</v>
      </c>
      <c r="BC62" s="28" t="e">
        <f t="shared" si="64"/>
        <v>#N/A</v>
      </c>
      <c r="BD62" s="28" t="e">
        <f t="shared" si="65"/>
        <v>#N/A</v>
      </c>
      <c r="BE62" s="28" t="e">
        <f t="shared" si="66"/>
        <v>#N/A</v>
      </c>
      <c r="BF62" s="28" t="e">
        <f t="shared" si="67"/>
        <v>#DIV/0!</v>
      </c>
      <c r="BG62" s="28" t="e">
        <f t="shared" si="68"/>
        <v>#DIV/0!</v>
      </c>
      <c r="BH62" s="28" t="e">
        <f t="shared" si="69"/>
        <v>#DIV/0!</v>
      </c>
      <c r="BI62" s="28" t="e">
        <f t="shared" si="70"/>
        <v>#DIV/0!</v>
      </c>
    </row>
    <row r="63" spans="2:61" ht="75" customHeight="1" x14ac:dyDescent="0.25">
      <c r="B63" s="17"/>
      <c r="C63" s="17"/>
      <c r="D63" s="17"/>
      <c r="E63" s="17"/>
      <c r="F63" s="17"/>
      <c r="G63" s="17"/>
      <c r="H63" s="65"/>
      <c r="I63" s="17"/>
      <c r="J63" s="17"/>
      <c r="K63" s="17"/>
      <c r="L63" s="17"/>
      <c r="M63" s="17" t="e">
        <f t="shared" si="2"/>
        <v>#DIV/0!</v>
      </c>
      <c r="N63" s="17"/>
      <c r="O63" s="17"/>
      <c r="P63" s="17"/>
      <c r="Q63" s="17"/>
      <c r="R63" s="17"/>
      <c r="S63" s="17"/>
      <c r="U63" s="17">
        <f t="shared" si="37"/>
        <v>0</v>
      </c>
      <c r="V63" s="17" t="e">
        <f t="shared" si="38"/>
        <v>#DIV/0!</v>
      </c>
      <c r="W63" s="30" t="e">
        <f t="shared" si="39"/>
        <v>#DIV/0!</v>
      </c>
      <c r="X63" s="17" t="e">
        <f t="shared" si="40"/>
        <v>#N/A</v>
      </c>
      <c r="Y63" s="17" t="e">
        <f t="shared" si="41"/>
        <v>#DIV/0!</v>
      </c>
      <c r="Z63" s="17" t="e">
        <f t="shared" si="42"/>
        <v>#N/A</v>
      </c>
      <c r="AA63" s="43" t="e">
        <f t="shared" si="43"/>
        <v>#DIV/0!</v>
      </c>
      <c r="AG63" s="31">
        <f t="shared" si="44"/>
        <v>0</v>
      </c>
      <c r="AH63" s="31">
        <f t="shared" si="45"/>
        <v>0</v>
      </c>
      <c r="AI63" s="28" t="e">
        <f t="shared" si="46"/>
        <v>#N/A</v>
      </c>
      <c r="AJ63" s="28" t="e">
        <f t="shared" si="47"/>
        <v>#N/A</v>
      </c>
      <c r="AK63" s="28" t="e">
        <f t="shared" si="48"/>
        <v>#N/A</v>
      </c>
      <c r="AL63" s="28" t="e">
        <f t="shared" si="49"/>
        <v>#N/A</v>
      </c>
      <c r="AM63" s="28" t="e">
        <f t="shared" si="50"/>
        <v>#N/A</v>
      </c>
      <c r="AN63" s="28" t="e">
        <f t="shared" si="51"/>
        <v>#N/A</v>
      </c>
      <c r="AO63" s="28" t="e">
        <f t="shared" si="52"/>
        <v>#N/A</v>
      </c>
      <c r="AP63" s="28" t="e">
        <f t="shared" si="53"/>
        <v>#N/A</v>
      </c>
      <c r="AQ63" s="28" t="e">
        <f t="shared" si="54"/>
        <v>#N/A</v>
      </c>
      <c r="AR63" s="28" t="e">
        <f t="shared" si="55"/>
        <v>#N/A</v>
      </c>
      <c r="AS63" s="28" t="e">
        <f t="shared" si="56"/>
        <v>#N/A</v>
      </c>
      <c r="AT63" s="28" t="e">
        <f t="shared" si="57"/>
        <v>#N/A</v>
      </c>
      <c r="AV63" s="31" t="e">
        <f>IF(O63&gt;MAX($V$4:$AE$4),MAX($V$4:$AE$4)-0.1,IF(O63&lt;MIN($V$4:$AE45),MIN($V$4:$AE$4)+0.1,O63))</f>
        <v>#DIV/0!</v>
      </c>
      <c r="AW63" s="31">
        <f t="shared" si="58"/>
        <v>0</v>
      </c>
      <c r="AX63" s="28" t="e">
        <f t="shared" si="59"/>
        <v>#DIV/0!</v>
      </c>
      <c r="AY63" s="28" t="e">
        <f t="shared" si="60"/>
        <v>#DIV/0!</v>
      </c>
      <c r="AZ63" s="28" t="e">
        <f t="shared" si="61"/>
        <v>#DIV/0!</v>
      </c>
      <c r="BA63" s="28" t="e">
        <f t="shared" si="62"/>
        <v>#DIV/0!</v>
      </c>
      <c r="BB63" s="28" t="e">
        <f t="shared" si="63"/>
        <v>#N/A</v>
      </c>
      <c r="BC63" s="28" t="e">
        <f t="shared" si="64"/>
        <v>#N/A</v>
      </c>
      <c r="BD63" s="28" t="e">
        <f t="shared" si="65"/>
        <v>#N/A</v>
      </c>
      <c r="BE63" s="28" t="e">
        <f t="shared" si="66"/>
        <v>#N/A</v>
      </c>
      <c r="BF63" s="28" t="e">
        <f t="shared" si="67"/>
        <v>#DIV/0!</v>
      </c>
      <c r="BG63" s="28" t="e">
        <f t="shared" si="68"/>
        <v>#DIV/0!</v>
      </c>
      <c r="BH63" s="28" t="e">
        <f t="shared" si="69"/>
        <v>#DIV/0!</v>
      </c>
      <c r="BI63" s="28" t="e">
        <f t="shared" si="70"/>
        <v>#DIV/0!</v>
      </c>
    </row>
    <row r="64" spans="2:61" ht="75" customHeight="1" x14ac:dyDescent="0.25">
      <c r="B64" s="17"/>
      <c r="C64" s="17"/>
      <c r="D64" s="17"/>
      <c r="E64" s="17"/>
      <c r="F64" s="17"/>
      <c r="G64" s="17"/>
      <c r="H64" s="65"/>
      <c r="I64" s="17"/>
      <c r="J64" s="17"/>
      <c r="K64" s="17"/>
      <c r="L64" s="17"/>
      <c r="M64" s="17" t="e">
        <f t="shared" si="2"/>
        <v>#DIV/0!</v>
      </c>
      <c r="N64" s="17"/>
      <c r="O64" s="17"/>
      <c r="P64" s="17"/>
      <c r="Q64" s="17"/>
      <c r="R64" s="17"/>
      <c r="S64" s="17"/>
      <c r="U64" s="17">
        <f t="shared" si="37"/>
        <v>0</v>
      </c>
      <c r="V64" s="17" t="e">
        <f t="shared" si="38"/>
        <v>#DIV/0!</v>
      </c>
      <c r="W64" s="30" t="e">
        <f t="shared" si="39"/>
        <v>#DIV/0!</v>
      </c>
      <c r="X64" s="17" t="e">
        <f t="shared" si="40"/>
        <v>#N/A</v>
      </c>
      <c r="Y64" s="17" t="e">
        <f t="shared" si="41"/>
        <v>#DIV/0!</v>
      </c>
      <c r="Z64" s="17" t="e">
        <f t="shared" si="42"/>
        <v>#N/A</v>
      </c>
      <c r="AA64" s="43" t="e">
        <f t="shared" si="43"/>
        <v>#DIV/0!</v>
      </c>
      <c r="AG64" s="31">
        <f t="shared" si="44"/>
        <v>0</v>
      </c>
      <c r="AH64" s="31">
        <f t="shared" si="45"/>
        <v>0</v>
      </c>
      <c r="AI64" s="28" t="e">
        <f t="shared" si="46"/>
        <v>#N/A</v>
      </c>
      <c r="AJ64" s="28" t="e">
        <f t="shared" si="47"/>
        <v>#N/A</v>
      </c>
      <c r="AK64" s="28" t="e">
        <f t="shared" si="48"/>
        <v>#N/A</v>
      </c>
      <c r="AL64" s="28" t="e">
        <f t="shared" si="49"/>
        <v>#N/A</v>
      </c>
      <c r="AM64" s="28" t="e">
        <f t="shared" si="50"/>
        <v>#N/A</v>
      </c>
      <c r="AN64" s="28" t="e">
        <f t="shared" si="51"/>
        <v>#N/A</v>
      </c>
      <c r="AO64" s="28" t="e">
        <f t="shared" si="52"/>
        <v>#N/A</v>
      </c>
      <c r="AP64" s="28" t="e">
        <f t="shared" si="53"/>
        <v>#N/A</v>
      </c>
      <c r="AQ64" s="28" t="e">
        <f t="shared" si="54"/>
        <v>#N/A</v>
      </c>
      <c r="AR64" s="28" t="e">
        <f t="shared" si="55"/>
        <v>#N/A</v>
      </c>
      <c r="AS64" s="28" t="e">
        <f t="shared" si="56"/>
        <v>#N/A</v>
      </c>
      <c r="AT64" s="28" t="e">
        <f t="shared" si="57"/>
        <v>#N/A</v>
      </c>
      <c r="AV64" s="31" t="e">
        <f>IF(O64&gt;MAX($V$4:$AE$4),MAX($V$4:$AE$4)-0.1,IF(O64&lt;MIN($V$4:$AE46),MIN($V$4:$AE$4)+0.1,O64))</f>
        <v>#DIV/0!</v>
      </c>
      <c r="AW64" s="31">
        <f t="shared" si="58"/>
        <v>0</v>
      </c>
      <c r="AX64" s="28" t="e">
        <f t="shared" si="59"/>
        <v>#DIV/0!</v>
      </c>
      <c r="AY64" s="28" t="e">
        <f t="shared" si="60"/>
        <v>#DIV/0!</v>
      </c>
      <c r="AZ64" s="28" t="e">
        <f t="shared" si="61"/>
        <v>#DIV/0!</v>
      </c>
      <c r="BA64" s="28" t="e">
        <f t="shared" si="62"/>
        <v>#DIV/0!</v>
      </c>
      <c r="BB64" s="28" t="e">
        <f t="shared" si="63"/>
        <v>#N/A</v>
      </c>
      <c r="BC64" s="28" t="e">
        <f t="shared" si="64"/>
        <v>#N/A</v>
      </c>
      <c r="BD64" s="28" t="e">
        <f t="shared" si="65"/>
        <v>#N/A</v>
      </c>
      <c r="BE64" s="28" t="e">
        <f t="shared" si="66"/>
        <v>#N/A</v>
      </c>
      <c r="BF64" s="28" t="e">
        <f t="shared" si="67"/>
        <v>#DIV/0!</v>
      </c>
      <c r="BG64" s="28" t="e">
        <f t="shared" si="68"/>
        <v>#DIV/0!</v>
      </c>
      <c r="BH64" s="28" t="e">
        <f t="shared" si="69"/>
        <v>#DIV/0!</v>
      </c>
      <c r="BI64" s="28" t="e">
        <f t="shared" si="70"/>
        <v>#DIV/0!</v>
      </c>
    </row>
    <row r="65" spans="2:61" ht="75" customHeight="1" x14ac:dyDescent="0.25">
      <c r="B65" s="17"/>
      <c r="C65" s="17"/>
      <c r="D65" s="17"/>
      <c r="E65" s="17"/>
      <c r="F65" s="17"/>
      <c r="G65" s="17"/>
      <c r="H65" s="65"/>
      <c r="I65" s="17"/>
      <c r="J65" s="17"/>
      <c r="K65" s="17"/>
      <c r="L65" s="17"/>
      <c r="M65" s="17" t="e">
        <f t="shared" si="2"/>
        <v>#DIV/0!</v>
      </c>
      <c r="N65" s="17"/>
      <c r="O65" s="17"/>
      <c r="P65" s="17"/>
      <c r="Q65" s="17"/>
      <c r="R65" s="17"/>
      <c r="S65" s="17"/>
      <c r="U65" s="17">
        <f t="shared" si="37"/>
        <v>0</v>
      </c>
      <c r="V65" s="17" t="e">
        <f t="shared" si="38"/>
        <v>#DIV/0!</v>
      </c>
      <c r="W65" s="30" t="e">
        <f t="shared" si="39"/>
        <v>#DIV/0!</v>
      </c>
      <c r="X65" s="17" t="e">
        <f t="shared" si="40"/>
        <v>#N/A</v>
      </c>
      <c r="Y65" s="17" t="e">
        <f t="shared" si="41"/>
        <v>#DIV/0!</v>
      </c>
      <c r="Z65" s="17" t="e">
        <f t="shared" si="42"/>
        <v>#N/A</v>
      </c>
      <c r="AA65" s="43" t="e">
        <f t="shared" si="43"/>
        <v>#DIV/0!</v>
      </c>
      <c r="AG65" s="31">
        <f t="shared" si="44"/>
        <v>0</v>
      </c>
      <c r="AH65" s="31">
        <f t="shared" si="45"/>
        <v>0</v>
      </c>
      <c r="AI65" s="28" t="e">
        <f t="shared" si="46"/>
        <v>#N/A</v>
      </c>
      <c r="AJ65" s="28" t="e">
        <f t="shared" si="47"/>
        <v>#N/A</v>
      </c>
      <c r="AK65" s="28" t="e">
        <f t="shared" si="48"/>
        <v>#N/A</v>
      </c>
      <c r="AL65" s="28" t="e">
        <f t="shared" si="49"/>
        <v>#N/A</v>
      </c>
      <c r="AM65" s="28" t="e">
        <f t="shared" si="50"/>
        <v>#N/A</v>
      </c>
      <c r="AN65" s="28" t="e">
        <f t="shared" si="51"/>
        <v>#N/A</v>
      </c>
      <c r="AO65" s="28" t="e">
        <f t="shared" si="52"/>
        <v>#N/A</v>
      </c>
      <c r="AP65" s="28" t="e">
        <f t="shared" si="53"/>
        <v>#N/A</v>
      </c>
      <c r="AQ65" s="28" t="e">
        <f t="shared" si="54"/>
        <v>#N/A</v>
      </c>
      <c r="AR65" s="28" t="e">
        <f t="shared" si="55"/>
        <v>#N/A</v>
      </c>
      <c r="AS65" s="28" t="e">
        <f t="shared" si="56"/>
        <v>#N/A</v>
      </c>
      <c r="AT65" s="28" t="e">
        <f t="shared" si="57"/>
        <v>#N/A</v>
      </c>
      <c r="AV65" s="31" t="e">
        <f>IF(O65&gt;MAX($V$4:$AE$4),MAX($V$4:$AE$4)-0.1,IF(O65&lt;MIN($V$4:$AE47),MIN($V$4:$AE$4)+0.1,O65))</f>
        <v>#DIV/0!</v>
      </c>
      <c r="AW65" s="31">
        <f t="shared" si="58"/>
        <v>0</v>
      </c>
      <c r="AX65" s="28" t="e">
        <f t="shared" si="59"/>
        <v>#DIV/0!</v>
      </c>
      <c r="AY65" s="28" t="e">
        <f t="shared" si="60"/>
        <v>#DIV/0!</v>
      </c>
      <c r="AZ65" s="28" t="e">
        <f t="shared" si="61"/>
        <v>#DIV/0!</v>
      </c>
      <c r="BA65" s="28" t="e">
        <f t="shared" si="62"/>
        <v>#DIV/0!</v>
      </c>
      <c r="BB65" s="28" t="e">
        <f t="shared" si="63"/>
        <v>#N/A</v>
      </c>
      <c r="BC65" s="28" t="e">
        <f t="shared" si="64"/>
        <v>#N/A</v>
      </c>
      <c r="BD65" s="28" t="e">
        <f t="shared" si="65"/>
        <v>#N/A</v>
      </c>
      <c r="BE65" s="28" t="e">
        <f t="shared" si="66"/>
        <v>#N/A</v>
      </c>
      <c r="BF65" s="28" t="e">
        <f t="shared" si="67"/>
        <v>#DIV/0!</v>
      </c>
      <c r="BG65" s="28" t="e">
        <f t="shared" si="68"/>
        <v>#DIV/0!</v>
      </c>
      <c r="BH65" s="28" t="e">
        <f t="shared" si="69"/>
        <v>#DIV/0!</v>
      </c>
      <c r="BI65" s="28" t="e">
        <f t="shared" si="70"/>
        <v>#DIV/0!</v>
      </c>
    </row>
    <row r="66" spans="2:61" ht="75" customHeight="1" x14ac:dyDescent="0.25">
      <c r="B66" s="17"/>
      <c r="C66" s="17"/>
      <c r="D66" s="17"/>
      <c r="E66" s="17"/>
      <c r="F66" s="17"/>
      <c r="G66" s="17"/>
      <c r="H66" s="65"/>
      <c r="I66" s="17"/>
      <c r="J66" s="17"/>
      <c r="K66" s="17"/>
      <c r="L66" s="17"/>
      <c r="M66" s="17" t="e">
        <f t="shared" si="2"/>
        <v>#DIV/0!</v>
      </c>
      <c r="N66" s="17"/>
      <c r="O66" s="17"/>
      <c r="P66" s="17"/>
      <c r="Q66" s="17"/>
      <c r="R66" s="17"/>
      <c r="S66" s="17"/>
      <c r="U66" s="17">
        <f t="shared" si="37"/>
        <v>0</v>
      </c>
      <c r="V66" s="17" t="e">
        <f t="shared" si="38"/>
        <v>#DIV/0!</v>
      </c>
      <c r="W66" s="30" t="e">
        <f t="shared" si="39"/>
        <v>#DIV/0!</v>
      </c>
      <c r="X66" s="17" t="e">
        <f t="shared" si="40"/>
        <v>#N/A</v>
      </c>
      <c r="Y66" s="17" t="e">
        <f t="shared" si="41"/>
        <v>#DIV/0!</v>
      </c>
      <c r="Z66" s="17" t="e">
        <f t="shared" si="42"/>
        <v>#N/A</v>
      </c>
      <c r="AA66" s="43" t="e">
        <f t="shared" si="43"/>
        <v>#DIV/0!</v>
      </c>
      <c r="AG66" s="31">
        <f t="shared" si="44"/>
        <v>0</v>
      </c>
      <c r="AH66" s="31">
        <f t="shared" si="45"/>
        <v>0</v>
      </c>
      <c r="AI66" s="28" t="e">
        <f t="shared" si="46"/>
        <v>#N/A</v>
      </c>
      <c r="AJ66" s="28" t="e">
        <f t="shared" si="47"/>
        <v>#N/A</v>
      </c>
      <c r="AK66" s="28" t="e">
        <f t="shared" si="48"/>
        <v>#N/A</v>
      </c>
      <c r="AL66" s="28" t="e">
        <f t="shared" si="49"/>
        <v>#N/A</v>
      </c>
      <c r="AM66" s="28" t="e">
        <f t="shared" si="50"/>
        <v>#N/A</v>
      </c>
      <c r="AN66" s="28" t="e">
        <f t="shared" si="51"/>
        <v>#N/A</v>
      </c>
      <c r="AO66" s="28" t="e">
        <f t="shared" si="52"/>
        <v>#N/A</v>
      </c>
      <c r="AP66" s="28" t="e">
        <f t="shared" si="53"/>
        <v>#N/A</v>
      </c>
      <c r="AQ66" s="28" t="e">
        <f t="shared" si="54"/>
        <v>#N/A</v>
      </c>
      <c r="AR66" s="28" t="e">
        <f t="shared" si="55"/>
        <v>#N/A</v>
      </c>
      <c r="AS66" s="28" t="e">
        <f t="shared" si="56"/>
        <v>#N/A</v>
      </c>
      <c r="AT66" s="28" t="e">
        <f t="shared" si="57"/>
        <v>#N/A</v>
      </c>
      <c r="AV66" s="31" t="e">
        <f>IF(O66&gt;MAX($V$4:$AE$4),MAX($V$4:$AE$4)-0.1,IF(O66&lt;MIN($V$4:$AE48),MIN($V$4:$AE$4)+0.1,O66))</f>
        <v>#DIV/0!</v>
      </c>
      <c r="AW66" s="31">
        <f t="shared" si="58"/>
        <v>0</v>
      </c>
      <c r="AX66" s="28" t="e">
        <f t="shared" si="59"/>
        <v>#DIV/0!</v>
      </c>
      <c r="AY66" s="28" t="e">
        <f t="shared" si="60"/>
        <v>#DIV/0!</v>
      </c>
      <c r="AZ66" s="28" t="e">
        <f t="shared" si="61"/>
        <v>#DIV/0!</v>
      </c>
      <c r="BA66" s="28" t="e">
        <f t="shared" si="62"/>
        <v>#DIV/0!</v>
      </c>
      <c r="BB66" s="28" t="e">
        <f t="shared" si="63"/>
        <v>#N/A</v>
      </c>
      <c r="BC66" s="28" t="e">
        <f t="shared" si="64"/>
        <v>#N/A</v>
      </c>
      <c r="BD66" s="28" t="e">
        <f t="shared" si="65"/>
        <v>#N/A</v>
      </c>
      <c r="BE66" s="28" t="e">
        <f t="shared" si="66"/>
        <v>#N/A</v>
      </c>
      <c r="BF66" s="28" t="e">
        <f t="shared" si="67"/>
        <v>#DIV/0!</v>
      </c>
      <c r="BG66" s="28" t="e">
        <f t="shared" si="68"/>
        <v>#DIV/0!</v>
      </c>
      <c r="BH66" s="28" t="e">
        <f t="shared" si="69"/>
        <v>#DIV/0!</v>
      </c>
      <c r="BI66" s="28" t="e">
        <f t="shared" si="70"/>
        <v>#DIV/0!</v>
      </c>
    </row>
    <row r="67" spans="2:61" ht="75" customHeight="1" x14ac:dyDescent="0.25">
      <c r="B67" s="17"/>
      <c r="C67" s="17"/>
      <c r="D67" s="17"/>
      <c r="E67" s="17"/>
      <c r="F67" s="17"/>
      <c r="G67" s="17"/>
      <c r="H67" s="65"/>
      <c r="I67" s="17"/>
      <c r="J67" s="17"/>
      <c r="K67" s="17"/>
      <c r="L67" s="17"/>
      <c r="M67" s="17" t="e">
        <f t="shared" si="2"/>
        <v>#DIV/0!</v>
      </c>
      <c r="N67" s="17"/>
      <c r="O67" s="17"/>
      <c r="P67" s="17"/>
      <c r="Q67" s="17"/>
      <c r="R67" s="17"/>
      <c r="S67" s="17"/>
      <c r="U67" s="17">
        <f t="shared" si="37"/>
        <v>0</v>
      </c>
      <c r="V67" s="17" t="e">
        <f t="shared" si="38"/>
        <v>#DIV/0!</v>
      </c>
      <c r="W67" s="30" t="e">
        <f t="shared" si="39"/>
        <v>#DIV/0!</v>
      </c>
      <c r="X67" s="17" t="e">
        <f t="shared" si="40"/>
        <v>#N/A</v>
      </c>
      <c r="Y67" s="17" t="e">
        <f t="shared" si="41"/>
        <v>#DIV/0!</v>
      </c>
      <c r="Z67" s="17" t="e">
        <f t="shared" si="42"/>
        <v>#N/A</v>
      </c>
      <c r="AA67" s="43" t="e">
        <f t="shared" si="43"/>
        <v>#DIV/0!</v>
      </c>
      <c r="AG67" s="31">
        <f t="shared" si="44"/>
        <v>0</v>
      </c>
      <c r="AH67" s="31">
        <f t="shared" si="45"/>
        <v>0</v>
      </c>
      <c r="AI67" s="28" t="e">
        <f t="shared" si="46"/>
        <v>#N/A</v>
      </c>
      <c r="AJ67" s="28" t="e">
        <f t="shared" si="47"/>
        <v>#N/A</v>
      </c>
      <c r="AK67" s="28" t="e">
        <f t="shared" si="48"/>
        <v>#N/A</v>
      </c>
      <c r="AL67" s="28" t="e">
        <f t="shared" si="49"/>
        <v>#N/A</v>
      </c>
      <c r="AM67" s="28" t="e">
        <f t="shared" si="50"/>
        <v>#N/A</v>
      </c>
      <c r="AN67" s="28" t="e">
        <f t="shared" si="51"/>
        <v>#N/A</v>
      </c>
      <c r="AO67" s="28" t="e">
        <f t="shared" si="52"/>
        <v>#N/A</v>
      </c>
      <c r="AP67" s="28" t="e">
        <f t="shared" si="53"/>
        <v>#N/A</v>
      </c>
      <c r="AQ67" s="28" t="e">
        <f t="shared" si="54"/>
        <v>#N/A</v>
      </c>
      <c r="AR67" s="28" t="e">
        <f t="shared" si="55"/>
        <v>#N/A</v>
      </c>
      <c r="AS67" s="28" t="e">
        <f t="shared" si="56"/>
        <v>#N/A</v>
      </c>
      <c r="AT67" s="28" t="e">
        <f t="shared" si="57"/>
        <v>#N/A</v>
      </c>
      <c r="AV67" s="31" t="e">
        <f>IF(O67&gt;MAX($V$4:$AE$4),MAX($V$4:$AE$4)-0.1,IF(O67&lt;MIN($V$4:$AE49),MIN($V$4:$AE$4)+0.1,O67))</f>
        <v>#DIV/0!</v>
      </c>
      <c r="AW67" s="31">
        <f t="shared" si="58"/>
        <v>0</v>
      </c>
      <c r="AX67" s="28" t="e">
        <f t="shared" si="59"/>
        <v>#DIV/0!</v>
      </c>
      <c r="AY67" s="28" t="e">
        <f t="shared" si="60"/>
        <v>#DIV/0!</v>
      </c>
      <c r="AZ67" s="28" t="e">
        <f t="shared" si="61"/>
        <v>#DIV/0!</v>
      </c>
      <c r="BA67" s="28" t="e">
        <f t="shared" si="62"/>
        <v>#DIV/0!</v>
      </c>
      <c r="BB67" s="28" t="e">
        <f t="shared" si="63"/>
        <v>#N/A</v>
      </c>
      <c r="BC67" s="28" t="e">
        <f t="shared" si="64"/>
        <v>#N/A</v>
      </c>
      <c r="BD67" s="28" t="e">
        <f t="shared" si="65"/>
        <v>#N/A</v>
      </c>
      <c r="BE67" s="28" t="e">
        <f t="shared" si="66"/>
        <v>#N/A</v>
      </c>
      <c r="BF67" s="28" t="e">
        <f t="shared" si="67"/>
        <v>#DIV/0!</v>
      </c>
      <c r="BG67" s="28" t="e">
        <f t="shared" si="68"/>
        <v>#DIV/0!</v>
      </c>
      <c r="BH67" s="28" t="e">
        <f t="shared" si="69"/>
        <v>#DIV/0!</v>
      </c>
      <c r="BI67" s="28" t="e">
        <f t="shared" si="70"/>
        <v>#DIV/0!</v>
      </c>
    </row>
    <row r="68" spans="2:61" ht="75" customHeight="1" x14ac:dyDescent="0.25">
      <c r="B68" s="17"/>
      <c r="C68" s="17"/>
      <c r="D68" s="17"/>
      <c r="E68" s="17"/>
      <c r="F68" s="17"/>
      <c r="G68" s="17"/>
      <c r="H68" s="65"/>
      <c r="I68" s="17"/>
      <c r="J68" s="17"/>
      <c r="K68" s="17"/>
      <c r="L68" s="17"/>
      <c r="M68" s="17" t="e">
        <f t="shared" si="2"/>
        <v>#DIV/0!</v>
      </c>
      <c r="N68" s="17"/>
      <c r="O68" s="17"/>
      <c r="P68" s="17"/>
      <c r="Q68" s="17"/>
      <c r="R68" s="17"/>
      <c r="S68" s="17"/>
      <c r="U68" s="17">
        <f t="shared" si="37"/>
        <v>0</v>
      </c>
      <c r="V68" s="17" t="e">
        <f t="shared" si="38"/>
        <v>#DIV/0!</v>
      </c>
      <c r="W68" s="30" t="e">
        <f t="shared" si="39"/>
        <v>#DIV/0!</v>
      </c>
      <c r="X68" s="17" t="e">
        <f t="shared" si="40"/>
        <v>#N/A</v>
      </c>
      <c r="Y68" s="17" t="e">
        <f t="shared" si="41"/>
        <v>#DIV/0!</v>
      </c>
      <c r="Z68" s="17" t="e">
        <f t="shared" si="42"/>
        <v>#N/A</v>
      </c>
      <c r="AA68" s="43" t="e">
        <f t="shared" si="43"/>
        <v>#DIV/0!</v>
      </c>
      <c r="AG68" s="31">
        <f t="shared" si="44"/>
        <v>0</v>
      </c>
      <c r="AH68" s="31">
        <f t="shared" si="45"/>
        <v>0</v>
      </c>
      <c r="AI68" s="28" t="e">
        <f t="shared" si="46"/>
        <v>#N/A</v>
      </c>
      <c r="AJ68" s="28" t="e">
        <f t="shared" si="47"/>
        <v>#N/A</v>
      </c>
      <c r="AK68" s="28" t="e">
        <f t="shared" si="48"/>
        <v>#N/A</v>
      </c>
      <c r="AL68" s="28" t="e">
        <f t="shared" si="49"/>
        <v>#N/A</v>
      </c>
      <c r="AM68" s="28" t="e">
        <f t="shared" si="50"/>
        <v>#N/A</v>
      </c>
      <c r="AN68" s="28" t="e">
        <f t="shared" si="51"/>
        <v>#N/A</v>
      </c>
      <c r="AO68" s="28" t="e">
        <f t="shared" si="52"/>
        <v>#N/A</v>
      </c>
      <c r="AP68" s="28" t="e">
        <f t="shared" si="53"/>
        <v>#N/A</v>
      </c>
      <c r="AQ68" s="28" t="e">
        <f t="shared" si="54"/>
        <v>#N/A</v>
      </c>
      <c r="AR68" s="28" t="e">
        <f t="shared" si="55"/>
        <v>#N/A</v>
      </c>
      <c r="AS68" s="28" t="e">
        <f t="shared" si="56"/>
        <v>#N/A</v>
      </c>
      <c r="AT68" s="28" t="e">
        <f t="shared" si="57"/>
        <v>#N/A</v>
      </c>
      <c r="AV68" s="31" t="e">
        <f>IF(O68&gt;MAX($V$4:$AE$4),MAX($V$4:$AE$4)-0.1,IF(O68&lt;MIN($V$4:$AE50),MIN($V$4:$AE$4)+0.1,O68))</f>
        <v>#DIV/0!</v>
      </c>
      <c r="AW68" s="31">
        <f t="shared" si="58"/>
        <v>0</v>
      </c>
      <c r="AX68" s="28" t="e">
        <f t="shared" si="59"/>
        <v>#DIV/0!</v>
      </c>
      <c r="AY68" s="28" t="e">
        <f t="shared" si="60"/>
        <v>#DIV/0!</v>
      </c>
      <c r="AZ68" s="28" t="e">
        <f t="shared" si="61"/>
        <v>#DIV/0!</v>
      </c>
      <c r="BA68" s="28" t="e">
        <f t="shared" si="62"/>
        <v>#DIV/0!</v>
      </c>
      <c r="BB68" s="28" t="e">
        <f t="shared" si="63"/>
        <v>#N/A</v>
      </c>
      <c r="BC68" s="28" t="e">
        <f t="shared" si="64"/>
        <v>#N/A</v>
      </c>
      <c r="BD68" s="28" t="e">
        <f t="shared" si="65"/>
        <v>#N/A</v>
      </c>
      <c r="BE68" s="28" t="e">
        <f t="shared" si="66"/>
        <v>#N/A</v>
      </c>
      <c r="BF68" s="28" t="e">
        <f t="shared" si="67"/>
        <v>#DIV/0!</v>
      </c>
      <c r="BG68" s="28" t="e">
        <f t="shared" si="68"/>
        <v>#DIV/0!</v>
      </c>
      <c r="BH68" s="28" t="e">
        <f t="shared" si="69"/>
        <v>#DIV/0!</v>
      </c>
      <c r="BI68" s="28" t="e">
        <f t="shared" si="70"/>
        <v>#DIV/0!</v>
      </c>
    </row>
    <row r="69" spans="2:61" ht="75" customHeight="1" x14ac:dyDescent="0.25">
      <c r="B69" s="17"/>
      <c r="C69" s="17"/>
      <c r="D69" s="17"/>
      <c r="E69" s="17"/>
      <c r="F69" s="17"/>
      <c r="G69" s="17"/>
      <c r="H69" s="65"/>
      <c r="I69" s="17"/>
      <c r="J69" s="17"/>
      <c r="K69" s="17"/>
      <c r="L69" s="17"/>
      <c r="M69" s="17" t="e">
        <f t="shared" si="2"/>
        <v>#DIV/0!</v>
      </c>
      <c r="N69" s="17"/>
      <c r="O69" s="17"/>
      <c r="P69" s="17"/>
      <c r="Q69" s="17"/>
      <c r="R69" s="17"/>
      <c r="S69" s="17"/>
      <c r="U69" s="17">
        <f t="shared" si="37"/>
        <v>0</v>
      </c>
      <c r="V69" s="17" t="e">
        <f t="shared" si="38"/>
        <v>#DIV/0!</v>
      </c>
      <c r="W69" s="30" t="e">
        <f t="shared" si="39"/>
        <v>#DIV/0!</v>
      </c>
      <c r="X69" s="17" t="e">
        <f t="shared" si="40"/>
        <v>#N/A</v>
      </c>
      <c r="Y69" s="17" t="e">
        <f t="shared" si="41"/>
        <v>#DIV/0!</v>
      </c>
      <c r="Z69" s="17" t="e">
        <f t="shared" si="42"/>
        <v>#N/A</v>
      </c>
      <c r="AA69" s="43" t="e">
        <f t="shared" si="43"/>
        <v>#DIV/0!</v>
      </c>
      <c r="AG69" s="31">
        <f t="shared" si="44"/>
        <v>0</v>
      </c>
      <c r="AH69" s="31">
        <f t="shared" si="45"/>
        <v>0</v>
      </c>
      <c r="AI69" s="28" t="e">
        <f t="shared" si="46"/>
        <v>#N/A</v>
      </c>
      <c r="AJ69" s="28" t="e">
        <f t="shared" si="47"/>
        <v>#N/A</v>
      </c>
      <c r="AK69" s="28" t="e">
        <f t="shared" si="48"/>
        <v>#N/A</v>
      </c>
      <c r="AL69" s="28" t="e">
        <f t="shared" si="49"/>
        <v>#N/A</v>
      </c>
      <c r="AM69" s="28" t="e">
        <f t="shared" si="50"/>
        <v>#N/A</v>
      </c>
      <c r="AN69" s="28" t="e">
        <f t="shared" si="51"/>
        <v>#N/A</v>
      </c>
      <c r="AO69" s="28" t="e">
        <f t="shared" si="52"/>
        <v>#N/A</v>
      </c>
      <c r="AP69" s="28" t="e">
        <f t="shared" si="53"/>
        <v>#N/A</v>
      </c>
      <c r="AQ69" s="28" t="e">
        <f t="shared" si="54"/>
        <v>#N/A</v>
      </c>
      <c r="AR69" s="28" t="e">
        <f t="shared" si="55"/>
        <v>#N/A</v>
      </c>
      <c r="AS69" s="28" t="e">
        <f t="shared" si="56"/>
        <v>#N/A</v>
      </c>
      <c r="AT69" s="28" t="e">
        <f t="shared" si="57"/>
        <v>#N/A</v>
      </c>
      <c r="AV69" s="31" t="e">
        <f>IF(O69&gt;MAX($V$4:$AE$4),MAX($V$4:$AE$4)-0.1,IF(O69&lt;MIN($V$4:$AE51),MIN($V$4:$AE$4)+0.1,O69))</f>
        <v>#DIV/0!</v>
      </c>
      <c r="AW69" s="31">
        <f t="shared" si="58"/>
        <v>0</v>
      </c>
      <c r="AX69" s="28" t="e">
        <f t="shared" si="59"/>
        <v>#DIV/0!</v>
      </c>
      <c r="AY69" s="28" t="e">
        <f t="shared" si="60"/>
        <v>#DIV/0!</v>
      </c>
      <c r="AZ69" s="28" t="e">
        <f t="shared" si="61"/>
        <v>#DIV/0!</v>
      </c>
      <c r="BA69" s="28" t="e">
        <f t="shared" si="62"/>
        <v>#DIV/0!</v>
      </c>
      <c r="BB69" s="28" t="e">
        <f t="shared" si="63"/>
        <v>#N/A</v>
      </c>
      <c r="BC69" s="28" t="e">
        <f t="shared" si="64"/>
        <v>#N/A</v>
      </c>
      <c r="BD69" s="28" t="e">
        <f t="shared" si="65"/>
        <v>#N/A</v>
      </c>
      <c r="BE69" s="28" t="e">
        <f t="shared" si="66"/>
        <v>#N/A</v>
      </c>
      <c r="BF69" s="28" t="e">
        <f t="shared" si="67"/>
        <v>#DIV/0!</v>
      </c>
      <c r="BG69" s="28" t="e">
        <f t="shared" si="68"/>
        <v>#DIV/0!</v>
      </c>
      <c r="BH69" s="28" t="e">
        <f t="shared" si="69"/>
        <v>#DIV/0!</v>
      </c>
      <c r="BI69" s="28" t="e">
        <f t="shared" si="70"/>
        <v>#DIV/0!</v>
      </c>
    </row>
    <row r="70" spans="2:61" ht="75" customHeight="1" x14ac:dyDescent="0.25">
      <c r="B70" s="17"/>
      <c r="C70" s="17"/>
      <c r="D70" s="17"/>
      <c r="E70" s="17"/>
      <c r="F70" s="17"/>
      <c r="G70" s="17"/>
      <c r="H70" s="65"/>
      <c r="I70" s="17"/>
      <c r="J70" s="17"/>
      <c r="K70" s="17"/>
      <c r="L70" s="17"/>
      <c r="M70" s="17" t="e">
        <f t="shared" si="2"/>
        <v>#DIV/0!</v>
      </c>
      <c r="N70" s="17"/>
      <c r="O70" s="17"/>
      <c r="P70" s="17"/>
      <c r="Q70" s="17"/>
      <c r="R70" s="17"/>
      <c r="S70" s="17"/>
      <c r="U70" s="17">
        <f t="shared" si="37"/>
        <v>0</v>
      </c>
      <c r="V70" s="17" t="e">
        <f t="shared" si="38"/>
        <v>#DIV/0!</v>
      </c>
      <c r="W70" s="30" t="e">
        <f t="shared" si="39"/>
        <v>#DIV/0!</v>
      </c>
      <c r="X70" s="17" t="e">
        <f t="shared" si="40"/>
        <v>#N/A</v>
      </c>
      <c r="Y70" s="17" t="e">
        <f t="shared" si="41"/>
        <v>#DIV/0!</v>
      </c>
      <c r="Z70" s="17" t="e">
        <f t="shared" si="42"/>
        <v>#N/A</v>
      </c>
      <c r="AA70" s="43" t="e">
        <f t="shared" si="43"/>
        <v>#DIV/0!</v>
      </c>
      <c r="AG70" s="31">
        <f t="shared" si="44"/>
        <v>0</v>
      </c>
      <c r="AH70" s="31">
        <f t="shared" si="45"/>
        <v>0</v>
      </c>
      <c r="AI70" s="28" t="e">
        <f t="shared" si="46"/>
        <v>#N/A</v>
      </c>
      <c r="AJ70" s="28" t="e">
        <f t="shared" si="47"/>
        <v>#N/A</v>
      </c>
      <c r="AK70" s="28" t="e">
        <f t="shared" si="48"/>
        <v>#N/A</v>
      </c>
      <c r="AL70" s="28" t="e">
        <f t="shared" si="49"/>
        <v>#N/A</v>
      </c>
      <c r="AM70" s="28" t="e">
        <f t="shared" si="50"/>
        <v>#N/A</v>
      </c>
      <c r="AN70" s="28" t="e">
        <f t="shared" si="51"/>
        <v>#N/A</v>
      </c>
      <c r="AO70" s="28" t="e">
        <f t="shared" si="52"/>
        <v>#N/A</v>
      </c>
      <c r="AP70" s="28" t="e">
        <f t="shared" si="53"/>
        <v>#N/A</v>
      </c>
      <c r="AQ70" s="28" t="e">
        <f t="shared" si="54"/>
        <v>#N/A</v>
      </c>
      <c r="AR70" s="28" t="e">
        <f t="shared" si="55"/>
        <v>#N/A</v>
      </c>
      <c r="AS70" s="28" t="e">
        <f t="shared" si="56"/>
        <v>#N/A</v>
      </c>
      <c r="AT70" s="28" t="e">
        <f t="shared" si="57"/>
        <v>#N/A</v>
      </c>
      <c r="AV70" s="31" t="e">
        <f>IF(O70&gt;MAX($V$4:$AE$4),MAX($V$4:$AE$4)-0.1,IF(O70&lt;MIN($V$4:$AE52),MIN($V$4:$AE$4)+0.1,O70))</f>
        <v>#DIV/0!</v>
      </c>
      <c r="AW70" s="31">
        <f t="shared" si="58"/>
        <v>0</v>
      </c>
      <c r="AX70" s="28" t="e">
        <f t="shared" si="59"/>
        <v>#DIV/0!</v>
      </c>
      <c r="AY70" s="28" t="e">
        <f t="shared" si="60"/>
        <v>#DIV/0!</v>
      </c>
      <c r="AZ70" s="28" t="e">
        <f t="shared" si="61"/>
        <v>#DIV/0!</v>
      </c>
      <c r="BA70" s="28" t="e">
        <f t="shared" si="62"/>
        <v>#DIV/0!</v>
      </c>
      <c r="BB70" s="28" t="e">
        <f t="shared" si="63"/>
        <v>#N/A</v>
      </c>
      <c r="BC70" s="28" t="e">
        <f t="shared" si="64"/>
        <v>#N/A</v>
      </c>
      <c r="BD70" s="28" t="e">
        <f t="shared" si="65"/>
        <v>#N/A</v>
      </c>
      <c r="BE70" s="28" t="e">
        <f t="shared" si="66"/>
        <v>#N/A</v>
      </c>
      <c r="BF70" s="28" t="e">
        <f t="shared" si="67"/>
        <v>#DIV/0!</v>
      </c>
      <c r="BG70" s="28" t="e">
        <f t="shared" si="68"/>
        <v>#DIV/0!</v>
      </c>
      <c r="BH70" s="28" t="e">
        <f t="shared" si="69"/>
        <v>#DIV/0!</v>
      </c>
      <c r="BI70" s="28" t="e">
        <f t="shared" si="70"/>
        <v>#DIV/0!</v>
      </c>
    </row>
    <row r="71" spans="2:61" ht="75" customHeight="1" x14ac:dyDescent="0.25">
      <c r="B71" s="17"/>
      <c r="C71" s="17"/>
      <c r="D71" s="17"/>
      <c r="E71" s="17"/>
      <c r="F71" s="17"/>
      <c r="G71" s="17"/>
      <c r="H71" s="65"/>
      <c r="I71" s="17"/>
      <c r="J71" s="17"/>
      <c r="K71" s="17"/>
      <c r="L71" s="17"/>
      <c r="M71" s="17" t="e">
        <f t="shared" si="2"/>
        <v>#DIV/0!</v>
      </c>
      <c r="N71" s="17"/>
      <c r="O71" s="17"/>
      <c r="P71" s="17"/>
      <c r="Q71" s="17"/>
      <c r="R71" s="17"/>
      <c r="S71" s="17"/>
      <c r="U71" s="17">
        <f t="shared" si="37"/>
        <v>0</v>
      </c>
      <c r="V71" s="17" t="e">
        <f t="shared" si="38"/>
        <v>#DIV/0!</v>
      </c>
      <c r="W71" s="30" t="e">
        <f t="shared" si="39"/>
        <v>#DIV/0!</v>
      </c>
      <c r="X71" s="17" t="e">
        <f t="shared" si="40"/>
        <v>#N/A</v>
      </c>
      <c r="Y71" s="17" t="e">
        <f t="shared" si="41"/>
        <v>#DIV/0!</v>
      </c>
      <c r="Z71" s="17" t="e">
        <f t="shared" si="42"/>
        <v>#N/A</v>
      </c>
      <c r="AA71" s="43" t="e">
        <f t="shared" si="43"/>
        <v>#DIV/0!</v>
      </c>
      <c r="AG71" s="31">
        <f t="shared" si="44"/>
        <v>0</v>
      </c>
      <c r="AH71" s="31">
        <f t="shared" si="45"/>
        <v>0</v>
      </c>
      <c r="AI71" s="28" t="e">
        <f t="shared" si="46"/>
        <v>#N/A</v>
      </c>
      <c r="AJ71" s="28" t="e">
        <f t="shared" si="47"/>
        <v>#N/A</v>
      </c>
      <c r="AK71" s="28" t="e">
        <f t="shared" si="48"/>
        <v>#N/A</v>
      </c>
      <c r="AL71" s="28" t="e">
        <f t="shared" si="49"/>
        <v>#N/A</v>
      </c>
      <c r="AM71" s="28" t="e">
        <f t="shared" si="50"/>
        <v>#N/A</v>
      </c>
      <c r="AN71" s="28" t="e">
        <f t="shared" si="51"/>
        <v>#N/A</v>
      </c>
      <c r="AO71" s="28" t="e">
        <f t="shared" si="52"/>
        <v>#N/A</v>
      </c>
      <c r="AP71" s="28" t="e">
        <f t="shared" si="53"/>
        <v>#N/A</v>
      </c>
      <c r="AQ71" s="28" t="e">
        <f t="shared" si="54"/>
        <v>#N/A</v>
      </c>
      <c r="AR71" s="28" t="e">
        <f t="shared" si="55"/>
        <v>#N/A</v>
      </c>
      <c r="AS71" s="28" t="e">
        <f t="shared" si="56"/>
        <v>#N/A</v>
      </c>
      <c r="AT71" s="28" t="e">
        <f t="shared" si="57"/>
        <v>#N/A</v>
      </c>
      <c r="AV71" s="31" t="e">
        <f>IF(O71&gt;MAX($V$4:$AE$4),MAX($V$4:$AE$4)-0.1,IF(O71&lt;MIN($V$4:$AE53),MIN($V$4:$AE$4)+0.1,O71))</f>
        <v>#DIV/0!</v>
      </c>
      <c r="AW71" s="31">
        <f t="shared" si="58"/>
        <v>0</v>
      </c>
      <c r="AX71" s="28" t="e">
        <f t="shared" si="59"/>
        <v>#DIV/0!</v>
      </c>
      <c r="AY71" s="28" t="e">
        <f t="shared" si="60"/>
        <v>#DIV/0!</v>
      </c>
      <c r="AZ71" s="28" t="e">
        <f t="shared" si="61"/>
        <v>#DIV/0!</v>
      </c>
      <c r="BA71" s="28" t="e">
        <f t="shared" si="62"/>
        <v>#DIV/0!</v>
      </c>
      <c r="BB71" s="28" t="e">
        <f t="shared" si="63"/>
        <v>#N/A</v>
      </c>
      <c r="BC71" s="28" t="e">
        <f t="shared" si="64"/>
        <v>#N/A</v>
      </c>
      <c r="BD71" s="28" t="e">
        <f t="shared" si="65"/>
        <v>#N/A</v>
      </c>
      <c r="BE71" s="28" t="e">
        <f t="shared" si="66"/>
        <v>#N/A</v>
      </c>
      <c r="BF71" s="28" t="e">
        <f t="shared" si="67"/>
        <v>#DIV/0!</v>
      </c>
      <c r="BG71" s="28" t="e">
        <f t="shared" si="68"/>
        <v>#DIV/0!</v>
      </c>
      <c r="BH71" s="28" t="e">
        <f t="shared" si="69"/>
        <v>#DIV/0!</v>
      </c>
      <c r="BI71" s="28" t="e">
        <f t="shared" si="70"/>
        <v>#DIV/0!</v>
      </c>
    </row>
    <row r="72" spans="2:61" ht="75" customHeight="1" x14ac:dyDescent="0.25">
      <c r="B72" s="17"/>
      <c r="C72" s="17"/>
      <c r="D72" s="17"/>
      <c r="E72" s="17"/>
      <c r="F72" s="17"/>
      <c r="G72" s="17"/>
      <c r="H72" s="65"/>
      <c r="I72" s="17"/>
      <c r="J72" s="17"/>
      <c r="K72" s="17"/>
      <c r="L72" s="17"/>
      <c r="M72" s="17" t="e">
        <f t="shared" si="2"/>
        <v>#DIV/0!</v>
      </c>
      <c r="N72" s="17"/>
      <c r="O72" s="17"/>
      <c r="P72" s="17"/>
      <c r="Q72" s="17"/>
      <c r="R72" s="17"/>
      <c r="S72" s="17"/>
      <c r="U72" s="17">
        <f t="shared" si="37"/>
        <v>0</v>
      </c>
      <c r="V72" s="17" t="e">
        <f t="shared" si="38"/>
        <v>#DIV/0!</v>
      </c>
      <c r="W72" s="30" t="e">
        <f t="shared" si="39"/>
        <v>#DIV/0!</v>
      </c>
      <c r="X72" s="17" t="e">
        <f t="shared" si="40"/>
        <v>#N/A</v>
      </c>
      <c r="Y72" s="17" t="e">
        <f t="shared" si="41"/>
        <v>#DIV/0!</v>
      </c>
      <c r="Z72" s="17" t="e">
        <f t="shared" si="42"/>
        <v>#N/A</v>
      </c>
      <c r="AA72" s="43" t="e">
        <f t="shared" si="43"/>
        <v>#DIV/0!</v>
      </c>
      <c r="AG72" s="31">
        <f t="shared" si="44"/>
        <v>0</v>
      </c>
      <c r="AH72" s="31">
        <f t="shared" si="45"/>
        <v>0</v>
      </c>
      <c r="AI72" s="28" t="e">
        <f t="shared" si="46"/>
        <v>#N/A</v>
      </c>
      <c r="AJ72" s="28" t="e">
        <f t="shared" si="47"/>
        <v>#N/A</v>
      </c>
      <c r="AK72" s="28" t="e">
        <f t="shared" si="48"/>
        <v>#N/A</v>
      </c>
      <c r="AL72" s="28" t="e">
        <f t="shared" si="49"/>
        <v>#N/A</v>
      </c>
      <c r="AM72" s="28" t="e">
        <f t="shared" si="50"/>
        <v>#N/A</v>
      </c>
      <c r="AN72" s="28" t="e">
        <f t="shared" si="51"/>
        <v>#N/A</v>
      </c>
      <c r="AO72" s="28" t="e">
        <f t="shared" si="52"/>
        <v>#N/A</v>
      </c>
      <c r="AP72" s="28" t="e">
        <f t="shared" si="53"/>
        <v>#N/A</v>
      </c>
      <c r="AQ72" s="28" t="e">
        <f t="shared" si="54"/>
        <v>#N/A</v>
      </c>
      <c r="AR72" s="28" t="e">
        <f t="shared" si="55"/>
        <v>#N/A</v>
      </c>
      <c r="AS72" s="28" t="e">
        <f t="shared" si="56"/>
        <v>#N/A</v>
      </c>
      <c r="AT72" s="28" t="e">
        <f t="shared" si="57"/>
        <v>#N/A</v>
      </c>
      <c r="AV72" s="31" t="e">
        <f>IF(O72&gt;MAX($V$4:$AE$4),MAX($V$4:$AE$4)-0.1,IF(O72&lt;MIN($V$4:$AE54),MIN($V$4:$AE$4)+0.1,O72))</f>
        <v>#DIV/0!</v>
      </c>
      <c r="AW72" s="31">
        <f t="shared" si="58"/>
        <v>0</v>
      </c>
      <c r="AX72" s="28" t="e">
        <f t="shared" si="59"/>
        <v>#DIV/0!</v>
      </c>
      <c r="AY72" s="28" t="e">
        <f t="shared" si="60"/>
        <v>#DIV/0!</v>
      </c>
      <c r="AZ72" s="28" t="e">
        <f t="shared" si="61"/>
        <v>#DIV/0!</v>
      </c>
      <c r="BA72" s="28" t="e">
        <f t="shared" si="62"/>
        <v>#DIV/0!</v>
      </c>
      <c r="BB72" s="28" t="e">
        <f t="shared" si="63"/>
        <v>#N/A</v>
      </c>
      <c r="BC72" s="28" t="e">
        <f t="shared" si="64"/>
        <v>#N/A</v>
      </c>
      <c r="BD72" s="28" t="e">
        <f t="shared" si="65"/>
        <v>#N/A</v>
      </c>
      <c r="BE72" s="28" t="e">
        <f t="shared" si="66"/>
        <v>#N/A</v>
      </c>
      <c r="BF72" s="28" t="e">
        <f t="shared" si="67"/>
        <v>#DIV/0!</v>
      </c>
      <c r="BG72" s="28" t="e">
        <f t="shared" si="68"/>
        <v>#DIV/0!</v>
      </c>
      <c r="BH72" s="28" t="e">
        <f t="shared" si="69"/>
        <v>#DIV/0!</v>
      </c>
      <c r="BI72" s="28" t="e">
        <f t="shared" si="70"/>
        <v>#DIV/0!</v>
      </c>
    </row>
    <row r="73" spans="2:61" ht="75" customHeight="1" x14ac:dyDescent="0.25">
      <c r="B73" s="17"/>
      <c r="C73" s="17"/>
      <c r="D73" s="17"/>
      <c r="E73" s="17"/>
      <c r="F73" s="17"/>
      <c r="G73" s="17"/>
      <c r="H73" s="65"/>
      <c r="I73" s="17"/>
      <c r="J73" s="17"/>
      <c r="K73" s="17"/>
      <c r="L73" s="17"/>
      <c r="M73" s="17" t="e">
        <f t="shared" si="2"/>
        <v>#DIV/0!</v>
      </c>
      <c r="N73" s="17"/>
      <c r="O73" s="17"/>
      <c r="P73" s="17"/>
      <c r="Q73" s="17"/>
      <c r="R73" s="17"/>
      <c r="S73" s="17"/>
      <c r="U73" s="17">
        <f t="shared" si="37"/>
        <v>0</v>
      </c>
      <c r="V73" s="17" t="e">
        <f t="shared" si="38"/>
        <v>#DIV/0!</v>
      </c>
      <c r="W73" s="30" t="e">
        <f t="shared" si="39"/>
        <v>#DIV/0!</v>
      </c>
      <c r="X73" s="17" t="e">
        <f t="shared" si="40"/>
        <v>#N/A</v>
      </c>
      <c r="Y73" s="17" t="e">
        <f t="shared" si="41"/>
        <v>#DIV/0!</v>
      </c>
      <c r="Z73" s="17" t="e">
        <f t="shared" si="42"/>
        <v>#N/A</v>
      </c>
      <c r="AA73" s="43" t="e">
        <f t="shared" si="43"/>
        <v>#DIV/0!</v>
      </c>
      <c r="AG73" s="31">
        <f t="shared" si="44"/>
        <v>0</v>
      </c>
      <c r="AH73" s="31">
        <f t="shared" si="45"/>
        <v>0</v>
      </c>
      <c r="AI73" s="28" t="e">
        <f t="shared" si="46"/>
        <v>#N/A</v>
      </c>
      <c r="AJ73" s="28" t="e">
        <f t="shared" si="47"/>
        <v>#N/A</v>
      </c>
      <c r="AK73" s="28" t="e">
        <f t="shared" si="48"/>
        <v>#N/A</v>
      </c>
      <c r="AL73" s="28" t="e">
        <f t="shared" si="49"/>
        <v>#N/A</v>
      </c>
      <c r="AM73" s="28" t="e">
        <f t="shared" si="50"/>
        <v>#N/A</v>
      </c>
      <c r="AN73" s="28" t="e">
        <f t="shared" si="51"/>
        <v>#N/A</v>
      </c>
      <c r="AO73" s="28" t="e">
        <f t="shared" si="52"/>
        <v>#N/A</v>
      </c>
      <c r="AP73" s="28" t="e">
        <f t="shared" si="53"/>
        <v>#N/A</v>
      </c>
      <c r="AQ73" s="28" t="e">
        <f t="shared" si="54"/>
        <v>#N/A</v>
      </c>
      <c r="AR73" s="28" t="e">
        <f t="shared" si="55"/>
        <v>#N/A</v>
      </c>
      <c r="AS73" s="28" t="e">
        <f t="shared" si="56"/>
        <v>#N/A</v>
      </c>
      <c r="AT73" s="28" t="e">
        <f t="shared" si="57"/>
        <v>#N/A</v>
      </c>
      <c r="AV73" s="31" t="e">
        <f>IF(O73&gt;MAX($V$4:$AE$4),MAX($V$4:$AE$4)-0.1,IF(O73&lt;MIN($V$4:$AE55),MIN($V$4:$AE$4)+0.1,O73))</f>
        <v>#DIV/0!</v>
      </c>
      <c r="AW73" s="31">
        <f t="shared" si="58"/>
        <v>0</v>
      </c>
      <c r="AX73" s="28" t="e">
        <f t="shared" si="59"/>
        <v>#DIV/0!</v>
      </c>
      <c r="AY73" s="28" t="e">
        <f t="shared" si="60"/>
        <v>#DIV/0!</v>
      </c>
      <c r="AZ73" s="28" t="e">
        <f t="shared" si="61"/>
        <v>#DIV/0!</v>
      </c>
      <c r="BA73" s="28" t="e">
        <f t="shared" si="62"/>
        <v>#DIV/0!</v>
      </c>
      <c r="BB73" s="28" t="e">
        <f t="shared" si="63"/>
        <v>#N/A</v>
      </c>
      <c r="BC73" s="28" t="e">
        <f t="shared" si="64"/>
        <v>#N/A</v>
      </c>
      <c r="BD73" s="28" t="e">
        <f t="shared" si="65"/>
        <v>#N/A</v>
      </c>
      <c r="BE73" s="28" t="e">
        <f t="shared" si="66"/>
        <v>#N/A</v>
      </c>
      <c r="BF73" s="28" t="e">
        <f t="shared" si="67"/>
        <v>#DIV/0!</v>
      </c>
      <c r="BG73" s="28" t="e">
        <f t="shared" si="68"/>
        <v>#DIV/0!</v>
      </c>
      <c r="BH73" s="28" t="e">
        <f t="shared" si="69"/>
        <v>#DIV/0!</v>
      </c>
      <c r="BI73" s="28" t="e">
        <f t="shared" si="70"/>
        <v>#DIV/0!</v>
      </c>
    </row>
    <row r="74" spans="2:61" ht="75" customHeight="1" x14ac:dyDescent="0.25">
      <c r="B74" s="17"/>
      <c r="C74" s="17"/>
      <c r="D74" s="17"/>
      <c r="E74" s="17"/>
      <c r="F74" s="17"/>
      <c r="G74" s="17"/>
      <c r="H74" s="65"/>
      <c r="I74" s="17"/>
      <c r="J74" s="17"/>
      <c r="K74" s="17"/>
      <c r="L74" s="17"/>
      <c r="M74" s="17" t="e">
        <f t="shared" si="2"/>
        <v>#DIV/0!</v>
      </c>
      <c r="N74" s="17"/>
      <c r="O74" s="17"/>
      <c r="P74" s="17"/>
      <c r="Q74" s="17"/>
      <c r="R74" s="17"/>
      <c r="S74" s="17"/>
      <c r="U74" s="17">
        <f t="shared" si="37"/>
        <v>0</v>
      </c>
      <c r="V74" s="17" t="e">
        <f t="shared" si="38"/>
        <v>#DIV/0!</v>
      </c>
      <c r="W74" s="30" t="e">
        <f t="shared" si="39"/>
        <v>#DIV/0!</v>
      </c>
      <c r="X74" s="17" t="e">
        <f t="shared" si="40"/>
        <v>#N/A</v>
      </c>
      <c r="Y74" s="17" t="e">
        <f t="shared" si="41"/>
        <v>#DIV/0!</v>
      </c>
      <c r="Z74" s="17" t="e">
        <f t="shared" si="42"/>
        <v>#N/A</v>
      </c>
      <c r="AA74" s="43" t="e">
        <f t="shared" si="43"/>
        <v>#DIV/0!</v>
      </c>
      <c r="AG74" s="31">
        <f t="shared" si="44"/>
        <v>0</v>
      </c>
      <c r="AH74" s="31">
        <f t="shared" si="45"/>
        <v>0</v>
      </c>
      <c r="AI74" s="28" t="e">
        <f t="shared" si="46"/>
        <v>#N/A</v>
      </c>
      <c r="AJ74" s="28" t="e">
        <f t="shared" si="47"/>
        <v>#N/A</v>
      </c>
      <c r="AK74" s="28" t="e">
        <f t="shared" si="48"/>
        <v>#N/A</v>
      </c>
      <c r="AL74" s="28" t="e">
        <f t="shared" si="49"/>
        <v>#N/A</v>
      </c>
      <c r="AM74" s="28" t="e">
        <f t="shared" si="50"/>
        <v>#N/A</v>
      </c>
      <c r="AN74" s="28" t="e">
        <f t="shared" si="51"/>
        <v>#N/A</v>
      </c>
      <c r="AO74" s="28" t="e">
        <f t="shared" si="52"/>
        <v>#N/A</v>
      </c>
      <c r="AP74" s="28" t="e">
        <f t="shared" si="53"/>
        <v>#N/A</v>
      </c>
      <c r="AQ74" s="28" t="e">
        <f t="shared" si="54"/>
        <v>#N/A</v>
      </c>
      <c r="AR74" s="28" t="e">
        <f t="shared" si="55"/>
        <v>#N/A</v>
      </c>
      <c r="AS74" s="28" t="e">
        <f t="shared" si="56"/>
        <v>#N/A</v>
      </c>
      <c r="AT74" s="28" t="e">
        <f t="shared" si="57"/>
        <v>#N/A</v>
      </c>
      <c r="AV74" s="31" t="e">
        <f>IF(O74&gt;MAX($V$4:$AE$4),MAX($V$4:$AE$4)-0.1,IF(O74&lt;MIN($V$4:$AE56),MIN($V$4:$AE$4)+0.1,O74))</f>
        <v>#DIV/0!</v>
      </c>
      <c r="AW74" s="31">
        <f t="shared" si="58"/>
        <v>0</v>
      </c>
      <c r="AX74" s="28" t="e">
        <f t="shared" si="59"/>
        <v>#DIV/0!</v>
      </c>
      <c r="AY74" s="28" t="e">
        <f t="shared" si="60"/>
        <v>#DIV/0!</v>
      </c>
      <c r="AZ74" s="28" t="e">
        <f t="shared" si="61"/>
        <v>#DIV/0!</v>
      </c>
      <c r="BA74" s="28" t="e">
        <f t="shared" si="62"/>
        <v>#DIV/0!</v>
      </c>
      <c r="BB74" s="28" t="e">
        <f t="shared" si="63"/>
        <v>#N/A</v>
      </c>
      <c r="BC74" s="28" t="e">
        <f t="shared" si="64"/>
        <v>#N/A</v>
      </c>
      <c r="BD74" s="28" t="e">
        <f t="shared" si="65"/>
        <v>#N/A</v>
      </c>
      <c r="BE74" s="28" t="e">
        <f t="shared" si="66"/>
        <v>#N/A</v>
      </c>
      <c r="BF74" s="28" t="e">
        <f t="shared" si="67"/>
        <v>#DIV/0!</v>
      </c>
      <c r="BG74" s="28" t="e">
        <f t="shared" si="68"/>
        <v>#DIV/0!</v>
      </c>
      <c r="BH74" s="28" t="e">
        <f t="shared" si="69"/>
        <v>#DIV/0!</v>
      </c>
      <c r="BI74" s="28" t="e">
        <f t="shared" si="70"/>
        <v>#DIV/0!</v>
      </c>
    </row>
    <row r="75" spans="2:61" ht="75" customHeight="1" x14ac:dyDescent="0.25">
      <c r="B75" s="17"/>
      <c r="C75" s="17"/>
      <c r="D75" s="17"/>
      <c r="E75" s="17"/>
      <c r="F75" s="17"/>
      <c r="G75" s="17"/>
      <c r="H75" s="65"/>
      <c r="I75" s="17"/>
      <c r="J75" s="17"/>
      <c r="K75" s="17"/>
      <c r="L75" s="17"/>
      <c r="M75" s="17" t="e">
        <f t="shared" si="2"/>
        <v>#DIV/0!</v>
      </c>
      <c r="N75" s="17"/>
      <c r="O75" s="17"/>
      <c r="P75" s="17"/>
      <c r="Q75" s="17"/>
      <c r="R75" s="17"/>
      <c r="S75" s="17"/>
      <c r="U75" s="17">
        <f t="shared" si="37"/>
        <v>0</v>
      </c>
      <c r="V75" s="17" t="e">
        <f t="shared" si="38"/>
        <v>#DIV/0!</v>
      </c>
      <c r="W75" s="30" t="e">
        <f t="shared" si="39"/>
        <v>#DIV/0!</v>
      </c>
      <c r="X75" s="17" t="e">
        <f t="shared" si="40"/>
        <v>#N/A</v>
      </c>
      <c r="Y75" s="17" t="e">
        <f t="shared" si="41"/>
        <v>#DIV/0!</v>
      </c>
      <c r="Z75" s="17" t="e">
        <f t="shared" si="42"/>
        <v>#N/A</v>
      </c>
      <c r="AA75" s="43" t="e">
        <f t="shared" si="43"/>
        <v>#DIV/0!</v>
      </c>
      <c r="AG75" s="31">
        <f t="shared" si="44"/>
        <v>0</v>
      </c>
      <c r="AH75" s="31">
        <f t="shared" si="45"/>
        <v>0</v>
      </c>
      <c r="AI75" s="28" t="e">
        <f t="shared" si="46"/>
        <v>#N/A</v>
      </c>
      <c r="AJ75" s="28" t="e">
        <f t="shared" si="47"/>
        <v>#N/A</v>
      </c>
      <c r="AK75" s="28" t="e">
        <f t="shared" si="48"/>
        <v>#N/A</v>
      </c>
      <c r="AL75" s="28" t="e">
        <f t="shared" si="49"/>
        <v>#N/A</v>
      </c>
      <c r="AM75" s="28" t="e">
        <f t="shared" si="50"/>
        <v>#N/A</v>
      </c>
      <c r="AN75" s="28" t="e">
        <f t="shared" si="51"/>
        <v>#N/A</v>
      </c>
      <c r="AO75" s="28" t="e">
        <f t="shared" si="52"/>
        <v>#N/A</v>
      </c>
      <c r="AP75" s="28" t="e">
        <f t="shared" si="53"/>
        <v>#N/A</v>
      </c>
      <c r="AQ75" s="28" t="e">
        <f t="shared" si="54"/>
        <v>#N/A</v>
      </c>
      <c r="AR75" s="28" t="e">
        <f t="shared" si="55"/>
        <v>#N/A</v>
      </c>
      <c r="AS75" s="28" t="e">
        <f t="shared" si="56"/>
        <v>#N/A</v>
      </c>
      <c r="AT75" s="28" t="e">
        <f t="shared" si="57"/>
        <v>#N/A</v>
      </c>
      <c r="AV75" s="31" t="e">
        <f>IF(O75&gt;MAX($V$4:$AE$4),MAX($V$4:$AE$4)-0.1,IF(O75&lt;MIN($V$4:$AE57),MIN($V$4:$AE$4)+0.1,O75))</f>
        <v>#DIV/0!</v>
      </c>
      <c r="AW75" s="31">
        <f t="shared" si="58"/>
        <v>0</v>
      </c>
      <c r="AX75" s="28" t="e">
        <f t="shared" si="59"/>
        <v>#DIV/0!</v>
      </c>
      <c r="AY75" s="28" t="e">
        <f t="shared" si="60"/>
        <v>#DIV/0!</v>
      </c>
      <c r="AZ75" s="28" t="e">
        <f t="shared" si="61"/>
        <v>#DIV/0!</v>
      </c>
      <c r="BA75" s="28" t="e">
        <f t="shared" si="62"/>
        <v>#DIV/0!</v>
      </c>
      <c r="BB75" s="28" t="e">
        <f t="shared" si="63"/>
        <v>#N/A</v>
      </c>
      <c r="BC75" s="28" t="e">
        <f t="shared" si="64"/>
        <v>#N/A</v>
      </c>
      <c r="BD75" s="28" t="e">
        <f t="shared" si="65"/>
        <v>#N/A</v>
      </c>
      <c r="BE75" s="28" t="e">
        <f t="shared" si="66"/>
        <v>#N/A</v>
      </c>
      <c r="BF75" s="28" t="e">
        <f t="shared" si="67"/>
        <v>#DIV/0!</v>
      </c>
      <c r="BG75" s="28" t="e">
        <f t="shared" si="68"/>
        <v>#DIV/0!</v>
      </c>
      <c r="BH75" s="28" t="e">
        <f t="shared" si="69"/>
        <v>#DIV/0!</v>
      </c>
      <c r="BI75" s="28" t="e">
        <f t="shared" si="70"/>
        <v>#DIV/0!</v>
      </c>
    </row>
    <row r="76" spans="2:61" ht="75" customHeight="1" x14ac:dyDescent="0.25">
      <c r="B76" s="17"/>
      <c r="C76" s="17"/>
      <c r="D76" s="17"/>
      <c r="E76" s="17"/>
      <c r="F76" s="17"/>
      <c r="G76" s="17"/>
      <c r="H76" s="65"/>
      <c r="I76" s="17"/>
      <c r="J76" s="17"/>
      <c r="K76" s="17"/>
      <c r="L76" s="17"/>
      <c r="M76" s="17" t="e">
        <f t="shared" si="2"/>
        <v>#DIV/0!</v>
      </c>
      <c r="N76" s="17"/>
      <c r="O76" s="17"/>
      <c r="P76" s="17"/>
      <c r="Q76" s="17"/>
      <c r="R76" s="17"/>
      <c r="S76" s="17"/>
      <c r="U76" s="17">
        <f t="shared" si="37"/>
        <v>0</v>
      </c>
      <c r="V76" s="17" t="e">
        <f t="shared" si="38"/>
        <v>#DIV/0!</v>
      </c>
      <c r="W76" s="30" t="e">
        <f t="shared" si="39"/>
        <v>#DIV/0!</v>
      </c>
      <c r="X76" s="17" t="e">
        <f t="shared" si="40"/>
        <v>#N/A</v>
      </c>
      <c r="Y76" s="17" t="e">
        <f t="shared" si="41"/>
        <v>#DIV/0!</v>
      </c>
      <c r="Z76" s="17" t="e">
        <f t="shared" si="42"/>
        <v>#N/A</v>
      </c>
      <c r="AA76" s="43" t="e">
        <f t="shared" si="43"/>
        <v>#DIV/0!</v>
      </c>
      <c r="AG76" s="31">
        <f t="shared" si="44"/>
        <v>0</v>
      </c>
      <c r="AH76" s="31">
        <f t="shared" si="45"/>
        <v>0</v>
      </c>
      <c r="AI76" s="28" t="e">
        <f t="shared" si="46"/>
        <v>#N/A</v>
      </c>
      <c r="AJ76" s="28" t="e">
        <f t="shared" si="47"/>
        <v>#N/A</v>
      </c>
      <c r="AK76" s="28" t="e">
        <f t="shared" si="48"/>
        <v>#N/A</v>
      </c>
      <c r="AL76" s="28" t="e">
        <f t="shared" si="49"/>
        <v>#N/A</v>
      </c>
      <c r="AM76" s="28" t="e">
        <f t="shared" si="50"/>
        <v>#N/A</v>
      </c>
      <c r="AN76" s="28" t="e">
        <f t="shared" si="51"/>
        <v>#N/A</v>
      </c>
      <c r="AO76" s="28" t="e">
        <f t="shared" si="52"/>
        <v>#N/A</v>
      </c>
      <c r="AP76" s="28" t="e">
        <f t="shared" si="53"/>
        <v>#N/A</v>
      </c>
      <c r="AQ76" s="28" t="e">
        <f t="shared" si="54"/>
        <v>#N/A</v>
      </c>
      <c r="AR76" s="28" t="e">
        <f t="shared" si="55"/>
        <v>#N/A</v>
      </c>
      <c r="AS76" s="28" t="e">
        <f t="shared" si="56"/>
        <v>#N/A</v>
      </c>
      <c r="AT76" s="28" t="e">
        <f t="shared" si="57"/>
        <v>#N/A</v>
      </c>
      <c r="AV76" s="31" t="e">
        <f>IF(O76&gt;MAX($V$4:$AE$4),MAX($V$4:$AE$4)-0.1,IF(O76&lt;MIN($V$4:$AE58),MIN($V$4:$AE$4)+0.1,O76))</f>
        <v>#DIV/0!</v>
      </c>
      <c r="AW76" s="31">
        <f t="shared" si="58"/>
        <v>0</v>
      </c>
      <c r="AX76" s="28" t="e">
        <f t="shared" si="59"/>
        <v>#DIV/0!</v>
      </c>
      <c r="AY76" s="28" t="e">
        <f t="shared" si="60"/>
        <v>#DIV/0!</v>
      </c>
      <c r="AZ76" s="28" t="e">
        <f t="shared" si="61"/>
        <v>#DIV/0!</v>
      </c>
      <c r="BA76" s="28" t="e">
        <f t="shared" si="62"/>
        <v>#DIV/0!</v>
      </c>
      <c r="BB76" s="28" t="e">
        <f t="shared" si="63"/>
        <v>#N/A</v>
      </c>
      <c r="BC76" s="28" t="e">
        <f t="shared" si="64"/>
        <v>#N/A</v>
      </c>
      <c r="BD76" s="28" t="e">
        <f t="shared" si="65"/>
        <v>#N/A</v>
      </c>
      <c r="BE76" s="28" t="e">
        <f t="shared" si="66"/>
        <v>#N/A</v>
      </c>
      <c r="BF76" s="28" t="e">
        <f t="shared" si="67"/>
        <v>#DIV/0!</v>
      </c>
      <c r="BG76" s="28" t="e">
        <f t="shared" si="68"/>
        <v>#DIV/0!</v>
      </c>
      <c r="BH76" s="28" t="e">
        <f t="shared" si="69"/>
        <v>#DIV/0!</v>
      </c>
      <c r="BI76" s="28" t="e">
        <f t="shared" si="70"/>
        <v>#DIV/0!</v>
      </c>
    </row>
    <row r="77" spans="2:61" ht="75" customHeight="1" x14ac:dyDescent="0.25">
      <c r="B77" s="17"/>
      <c r="C77" s="17"/>
      <c r="D77" s="17"/>
      <c r="E77" s="17"/>
      <c r="F77" s="17"/>
      <c r="G77" s="17"/>
      <c r="H77" s="65"/>
      <c r="I77" s="17"/>
      <c r="J77" s="17"/>
      <c r="K77" s="17"/>
      <c r="L77" s="17"/>
      <c r="M77" s="17" t="e">
        <f t="shared" si="2"/>
        <v>#DIV/0!</v>
      </c>
      <c r="N77" s="17"/>
      <c r="O77" s="17"/>
      <c r="P77" s="17"/>
      <c r="Q77" s="17"/>
      <c r="R77" s="17"/>
      <c r="S77" s="17"/>
      <c r="U77" s="17">
        <f t="shared" si="37"/>
        <v>0</v>
      </c>
      <c r="V77" s="17" t="e">
        <f t="shared" si="38"/>
        <v>#DIV/0!</v>
      </c>
      <c r="W77" s="30" t="e">
        <f t="shared" si="39"/>
        <v>#DIV/0!</v>
      </c>
      <c r="X77" s="17" t="e">
        <f t="shared" si="40"/>
        <v>#N/A</v>
      </c>
      <c r="Y77" s="17" t="e">
        <f t="shared" si="41"/>
        <v>#DIV/0!</v>
      </c>
      <c r="Z77" s="17" t="e">
        <f t="shared" si="42"/>
        <v>#N/A</v>
      </c>
      <c r="AA77" s="43" t="e">
        <f t="shared" si="43"/>
        <v>#DIV/0!</v>
      </c>
      <c r="AG77" s="31">
        <f t="shared" si="44"/>
        <v>0</v>
      </c>
      <c r="AH77" s="31">
        <f t="shared" si="45"/>
        <v>0</v>
      </c>
      <c r="AI77" s="28" t="e">
        <f t="shared" si="46"/>
        <v>#N/A</v>
      </c>
      <c r="AJ77" s="28" t="e">
        <f t="shared" si="47"/>
        <v>#N/A</v>
      </c>
      <c r="AK77" s="28" t="e">
        <f t="shared" si="48"/>
        <v>#N/A</v>
      </c>
      <c r="AL77" s="28" t="e">
        <f t="shared" si="49"/>
        <v>#N/A</v>
      </c>
      <c r="AM77" s="28" t="e">
        <f t="shared" si="50"/>
        <v>#N/A</v>
      </c>
      <c r="AN77" s="28" t="e">
        <f t="shared" si="51"/>
        <v>#N/A</v>
      </c>
      <c r="AO77" s="28" t="e">
        <f t="shared" si="52"/>
        <v>#N/A</v>
      </c>
      <c r="AP77" s="28" t="e">
        <f t="shared" si="53"/>
        <v>#N/A</v>
      </c>
      <c r="AQ77" s="28" t="e">
        <f t="shared" si="54"/>
        <v>#N/A</v>
      </c>
      <c r="AR77" s="28" t="e">
        <f t="shared" si="55"/>
        <v>#N/A</v>
      </c>
      <c r="AS77" s="28" t="e">
        <f t="shared" si="56"/>
        <v>#N/A</v>
      </c>
      <c r="AT77" s="28" t="e">
        <f t="shared" si="57"/>
        <v>#N/A</v>
      </c>
      <c r="AV77" s="31" t="e">
        <f>IF(O77&gt;MAX($V$4:$AE$4),MAX($V$4:$AE$4)-0.1,IF(O77&lt;MIN($V$4:$AE59),MIN($V$4:$AE$4)+0.1,O77))</f>
        <v>#DIV/0!</v>
      </c>
      <c r="AW77" s="31">
        <f t="shared" si="58"/>
        <v>0</v>
      </c>
      <c r="AX77" s="28" t="e">
        <f t="shared" si="59"/>
        <v>#DIV/0!</v>
      </c>
      <c r="AY77" s="28" t="e">
        <f t="shared" si="60"/>
        <v>#DIV/0!</v>
      </c>
      <c r="AZ77" s="28" t="e">
        <f t="shared" si="61"/>
        <v>#DIV/0!</v>
      </c>
      <c r="BA77" s="28" t="e">
        <f t="shared" si="62"/>
        <v>#DIV/0!</v>
      </c>
      <c r="BB77" s="28" t="e">
        <f t="shared" si="63"/>
        <v>#N/A</v>
      </c>
      <c r="BC77" s="28" t="e">
        <f t="shared" si="64"/>
        <v>#N/A</v>
      </c>
      <c r="BD77" s="28" t="e">
        <f t="shared" si="65"/>
        <v>#N/A</v>
      </c>
      <c r="BE77" s="28" t="e">
        <f t="shared" si="66"/>
        <v>#N/A</v>
      </c>
      <c r="BF77" s="28" t="e">
        <f t="shared" si="67"/>
        <v>#DIV/0!</v>
      </c>
      <c r="BG77" s="28" t="e">
        <f t="shared" si="68"/>
        <v>#DIV/0!</v>
      </c>
      <c r="BH77" s="28" t="e">
        <f t="shared" si="69"/>
        <v>#DIV/0!</v>
      </c>
      <c r="BI77" s="28" t="e">
        <f t="shared" si="70"/>
        <v>#DIV/0!</v>
      </c>
    </row>
    <row r="78" spans="2:61" ht="75" customHeight="1" x14ac:dyDescent="0.25">
      <c r="B78" s="17"/>
      <c r="C78" s="17"/>
      <c r="D78" s="17"/>
      <c r="E78" s="17"/>
      <c r="F78" s="17"/>
      <c r="G78" s="17"/>
      <c r="H78" s="65"/>
      <c r="I78" s="17"/>
      <c r="J78" s="17"/>
      <c r="K78" s="17"/>
      <c r="L78" s="17"/>
      <c r="M78" s="17" t="e">
        <f t="shared" si="2"/>
        <v>#DIV/0!</v>
      </c>
      <c r="N78" s="17"/>
      <c r="O78" s="17"/>
      <c r="P78" s="17"/>
      <c r="Q78" s="17"/>
      <c r="R78" s="17"/>
      <c r="S78" s="17"/>
      <c r="U78" s="17">
        <f t="shared" si="37"/>
        <v>0</v>
      </c>
      <c r="V78" s="17" t="e">
        <f t="shared" si="38"/>
        <v>#DIV/0!</v>
      </c>
      <c r="W78" s="30" t="e">
        <f t="shared" si="39"/>
        <v>#DIV/0!</v>
      </c>
      <c r="X78" s="17" t="e">
        <f t="shared" si="40"/>
        <v>#N/A</v>
      </c>
      <c r="Y78" s="17" t="e">
        <f t="shared" si="41"/>
        <v>#DIV/0!</v>
      </c>
      <c r="Z78" s="17" t="e">
        <f t="shared" si="42"/>
        <v>#N/A</v>
      </c>
      <c r="AA78" s="43" t="e">
        <f t="shared" si="43"/>
        <v>#DIV/0!</v>
      </c>
      <c r="AG78" s="31">
        <f t="shared" si="44"/>
        <v>0</v>
      </c>
      <c r="AH78" s="31">
        <f t="shared" si="45"/>
        <v>0</v>
      </c>
      <c r="AI78" s="28" t="e">
        <f t="shared" si="46"/>
        <v>#N/A</v>
      </c>
      <c r="AJ78" s="28" t="e">
        <f t="shared" si="47"/>
        <v>#N/A</v>
      </c>
      <c r="AK78" s="28" t="e">
        <f t="shared" si="48"/>
        <v>#N/A</v>
      </c>
      <c r="AL78" s="28" t="e">
        <f t="shared" si="49"/>
        <v>#N/A</v>
      </c>
      <c r="AM78" s="28" t="e">
        <f t="shared" si="50"/>
        <v>#N/A</v>
      </c>
      <c r="AN78" s="28" t="e">
        <f t="shared" si="51"/>
        <v>#N/A</v>
      </c>
      <c r="AO78" s="28" t="e">
        <f t="shared" si="52"/>
        <v>#N/A</v>
      </c>
      <c r="AP78" s="28" t="e">
        <f t="shared" si="53"/>
        <v>#N/A</v>
      </c>
      <c r="AQ78" s="28" t="e">
        <f t="shared" si="54"/>
        <v>#N/A</v>
      </c>
      <c r="AR78" s="28" t="e">
        <f t="shared" si="55"/>
        <v>#N/A</v>
      </c>
      <c r="AS78" s="28" t="e">
        <f t="shared" si="56"/>
        <v>#N/A</v>
      </c>
      <c r="AT78" s="28" t="e">
        <f t="shared" si="57"/>
        <v>#N/A</v>
      </c>
      <c r="AV78" s="31" t="e">
        <f>IF(O78&gt;MAX($V$4:$AE$4),MAX($V$4:$AE$4)-0.1,IF(O78&lt;MIN($V$4:$AE60),MIN($V$4:$AE$4)+0.1,O78))</f>
        <v>#DIV/0!</v>
      </c>
      <c r="AW78" s="31">
        <f t="shared" si="58"/>
        <v>0</v>
      </c>
      <c r="AX78" s="28" t="e">
        <f t="shared" si="59"/>
        <v>#DIV/0!</v>
      </c>
      <c r="AY78" s="28" t="e">
        <f t="shared" si="60"/>
        <v>#DIV/0!</v>
      </c>
      <c r="AZ78" s="28" t="e">
        <f t="shared" si="61"/>
        <v>#DIV/0!</v>
      </c>
      <c r="BA78" s="28" t="e">
        <f t="shared" si="62"/>
        <v>#DIV/0!</v>
      </c>
      <c r="BB78" s="28" t="e">
        <f t="shared" si="63"/>
        <v>#N/A</v>
      </c>
      <c r="BC78" s="28" t="e">
        <f t="shared" si="64"/>
        <v>#N/A</v>
      </c>
      <c r="BD78" s="28" t="e">
        <f t="shared" si="65"/>
        <v>#N/A</v>
      </c>
      <c r="BE78" s="28" t="e">
        <f t="shared" si="66"/>
        <v>#N/A</v>
      </c>
      <c r="BF78" s="28" t="e">
        <f t="shared" si="67"/>
        <v>#DIV/0!</v>
      </c>
      <c r="BG78" s="28" t="e">
        <f t="shared" si="68"/>
        <v>#DIV/0!</v>
      </c>
      <c r="BH78" s="28" t="e">
        <f t="shared" si="69"/>
        <v>#DIV/0!</v>
      </c>
      <c r="BI78" s="28" t="e">
        <f t="shared" si="70"/>
        <v>#DIV/0!</v>
      </c>
    </row>
    <row r="79" spans="2:61" ht="75" customHeight="1" x14ac:dyDescent="0.25">
      <c r="B79" s="17"/>
      <c r="C79" s="17"/>
      <c r="D79" s="17"/>
      <c r="E79" s="17"/>
      <c r="F79" s="17"/>
      <c r="G79" s="17"/>
      <c r="H79" s="65"/>
      <c r="I79" s="17"/>
      <c r="J79" s="17"/>
      <c r="K79" s="17"/>
      <c r="L79" s="17"/>
      <c r="M79" s="17" t="e">
        <f t="shared" si="2"/>
        <v>#DIV/0!</v>
      </c>
      <c r="N79" s="17"/>
      <c r="O79" s="17"/>
      <c r="P79" s="17"/>
      <c r="Q79" s="17"/>
      <c r="R79" s="17"/>
      <c r="S79" s="17"/>
      <c r="U79" s="17">
        <f t="shared" si="37"/>
        <v>0</v>
      </c>
      <c r="V79" s="17" t="e">
        <f t="shared" si="38"/>
        <v>#DIV/0!</v>
      </c>
      <c r="W79" s="30" t="e">
        <f t="shared" si="39"/>
        <v>#DIV/0!</v>
      </c>
      <c r="X79" s="17" t="e">
        <f t="shared" si="40"/>
        <v>#N/A</v>
      </c>
      <c r="Y79" s="17" t="e">
        <f t="shared" si="41"/>
        <v>#DIV/0!</v>
      </c>
      <c r="Z79" s="17" t="e">
        <f t="shared" si="42"/>
        <v>#N/A</v>
      </c>
      <c r="AA79" s="43" t="e">
        <f t="shared" si="43"/>
        <v>#DIV/0!</v>
      </c>
      <c r="AG79" s="31">
        <f t="shared" si="44"/>
        <v>0</v>
      </c>
      <c r="AH79" s="31">
        <f t="shared" si="45"/>
        <v>0</v>
      </c>
      <c r="AI79" s="28" t="e">
        <f t="shared" si="46"/>
        <v>#N/A</v>
      </c>
      <c r="AJ79" s="28" t="e">
        <f t="shared" si="47"/>
        <v>#N/A</v>
      </c>
      <c r="AK79" s="28" t="e">
        <f t="shared" si="48"/>
        <v>#N/A</v>
      </c>
      <c r="AL79" s="28" t="e">
        <f t="shared" si="49"/>
        <v>#N/A</v>
      </c>
      <c r="AM79" s="28" t="e">
        <f t="shared" si="50"/>
        <v>#N/A</v>
      </c>
      <c r="AN79" s="28" t="e">
        <f t="shared" si="51"/>
        <v>#N/A</v>
      </c>
      <c r="AO79" s="28" t="e">
        <f t="shared" si="52"/>
        <v>#N/A</v>
      </c>
      <c r="AP79" s="28" t="e">
        <f t="shared" si="53"/>
        <v>#N/A</v>
      </c>
      <c r="AQ79" s="28" t="e">
        <f t="shared" si="54"/>
        <v>#N/A</v>
      </c>
      <c r="AR79" s="28" t="e">
        <f t="shared" si="55"/>
        <v>#N/A</v>
      </c>
      <c r="AS79" s="28" t="e">
        <f t="shared" si="56"/>
        <v>#N/A</v>
      </c>
      <c r="AT79" s="28" t="e">
        <f t="shared" si="57"/>
        <v>#N/A</v>
      </c>
      <c r="AV79" s="31" t="e">
        <f>IF(O79&gt;MAX($V$4:$AE$4),MAX($V$4:$AE$4)-0.1,IF(O79&lt;MIN($V$4:$AE61),MIN($V$4:$AE$4)+0.1,O79))</f>
        <v>#DIV/0!</v>
      </c>
      <c r="AW79" s="31">
        <f t="shared" si="58"/>
        <v>0</v>
      </c>
      <c r="AX79" s="28" t="e">
        <f t="shared" si="59"/>
        <v>#DIV/0!</v>
      </c>
      <c r="AY79" s="28" t="e">
        <f t="shared" si="60"/>
        <v>#DIV/0!</v>
      </c>
      <c r="AZ79" s="28" t="e">
        <f t="shared" si="61"/>
        <v>#DIV/0!</v>
      </c>
      <c r="BA79" s="28" t="e">
        <f t="shared" si="62"/>
        <v>#DIV/0!</v>
      </c>
      <c r="BB79" s="28" t="e">
        <f t="shared" si="63"/>
        <v>#N/A</v>
      </c>
      <c r="BC79" s="28" t="e">
        <f t="shared" si="64"/>
        <v>#N/A</v>
      </c>
      <c r="BD79" s="28" t="e">
        <f t="shared" si="65"/>
        <v>#N/A</v>
      </c>
      <c r="BE79" s="28" t="e">
        <f t="shared" si="66"/>
        <v>#N/A</v>
      </c>
      <c r="BF79" s="28" t="e">
        <f t="shared" si="67"/>
        <v>#DIV/0!</v>
      </c>
      <c r="BG79" s="28" t="e">
        <f t="shared" si="68"/>
        <v>#DIV/0!</v>
      </c>
      <c r="BH79" s="28" t="e">
        <f t="shared" si="69"/>
        <v>#DIV/0!</v>
      </c>
      <c r="BI79" s="28" t="e">
        <f t="shared" si="70"/>
        <v>#DIV/0!</v>
      </c>
    </row>
    <row r="80" spans="2:61" ht="75" customHeight="1" x14ac:dyDescent="0.25">
      <c r="B80" s="17"/>
      <c r="C80" s="17"/>
      <c r="D80" s="17"/>
      <c r="E80" s="17"/>
      <c r="F80" s="17"/>
      <c r="G80" s="17"/>
      <c r="H80" s="65"/>
      <c r="I80" s="17"/>
      <c r="J80" s="17"/>
      <c r="K80" s="17"/>
      <c r="L80" s="17"/>
      <c r="M80" s="17" t="e">
        <f t="shared" si="2"/>
        <v>#DIV/0!</v>
      </c>
      <c r="N80" s="17"/>
      <c r="O80" s="17"/>
      <c r="P80" s="17"/>
      <c r="Q80" s="17"/>
      <c r="R80" s="17"/>
      <c r="S80" s="17"/>
      <c r="U80" s="17">
        <f t="shared" si="37"/>
        <v>0</v>
      </c>
      <c r="V80" s="17" t="e">
        <f t="shared" si="38"/>
        <v>#DIV/0!</v>
      </c>
      <c r="W80" s="30" t="e">
        <f t="shared" si="39"/>
        <v>#DIV/0!</v>
      </c>
      <c r="X80" s="17" t="e">
        <f t="shared" si="40"/>
        <v>#N/A</v>
      </c>
      <c r="Y80" s="17" t="e">
        <f t="shared" si="41"/>
        <v>#DIV/0!</v>
      </c>
      <c r="Z80" s="17" t="e">
        <f t="shared" si="42"/>
        <v>#N/A</v>
      </c>
      <c r="AA80" s="43" t="e">
        <f t="shared" si="43"/>
        <v>#DIV/0!</v>
      </c>
      <c r="AG80" s="31">
        <f t="shared" si="44"/>
        <v>0</v>
      </c>
      <c r="AH80" s="31">
        <f t="shared" si="45"/>
        <v>0</v>
      </c>
      <c r="AI80" s="28" t="e">
        <f t="shared" si="46"/>
        <v>#N/A</v>
      </c>
      <c r="AJ80" s="28" t="e">
        <f t="shared" si="47"/>
        <v>#N/A</v>
      </c>
      <c r="AK80" s="28" t="e">
        <f t="shared" si="48"/>
        <v>#N/A</v>
      </c>
      <c r="AL80" s="28" t="e">
        <f t="shared" si="49"/>
        <v>#N/A</v>
      </c>
      <c r="AM80" s="28" t="e">
        <f t="shared" si="50"/>
        <v>#N/A</v>
      </c>
      <c r="AN80" s="28" t="e">
        <f t="shared" si="51"/>
        <v>#N/A</v>
      </c>
      <c r="AO80" s="28" t="e">
        <f t="shared" si="52"/>
        <v>#N/A</v>
      </c>
      <c r="AP80" s="28" t="e">
        <f t="shared" si="53"/>
        <v>#N/A</v>
      </c>
      <c r="AQ80" s="28" t="e">
        <f t="shared" si="54"/>
        <v>#N/A</v>
      </c>
      <c r="AR80" s="28" t="e">
        <f t="shared" si="55"/>
        <v>#N/A</v>
      </c>
      <c r="AS80" s="28" t="e">
        <f t="shared" si="56"/>
        <v>#N/A</v>
      </c>
      <c r="AT80" s="28" t="e">
        <f t="shared" si="57"/>
        <v>#N/A</v>
      </c>
      <c r="AV80" s="31" t="e">
        <f>IF(O80&gt;MAX($V$4:$AE$4),MAX($V$4:$AE$4)-0.1,IF(O80&lt;MIN($V$4:$AE62),MIN($V$4:$AE$4)+0.1,O80))</f>
        <v>#DIV/0!</v>
      </c>
      <c r="AW80" s="31">
        <f t="shared" si="58"/>
        <v>0</v>
      </c>
      <c r="AX80" s="28" t="e">
        <f t="shared" si="59"/>
        <v>#DIV/0!</v>
      </c>
      <c r="AY80" s="28" t="e">
        <f t="shared" si="60"/>
        <v>#DIV/0!</v>
      </c>
      <c r="AZ80" s="28" t="e">
        <f t="shared" si="61"/>
        <v>#DIV/0!</v>
      </c>
      <c r="BA80" s="28" t="e">
        <f t="shared" si="62"/>
        <v>#DIV/0!</v>
      </c>
      <c r="BB80" s="28" t="e">
        <f t="shared" si="63"/>
        <v>#N/A</v>
      </c>
      <c r="BC80" s="28" t="e">
        <f t="shared" si="64"/>
        <v>#N/A</v>
      </c>
      <c r="BD80" s="28" t="e">
        <f t="shared" si="65"/>
        <v>#N/A</v>
      </c>
      <c r="BE80" s="28" t="e">
        <f t="shared" si="66"/>
        <v>#N/A</v>
      </c>
      <c r="BF80" s="28" t="e">
        <f t="shared" si="67"/>
        <v>#DIV/0!</v>
      </c>
      <c r="BG80" s="28" t="e">
        <f t="shared" si="68"/>
        <v>#DIV/0!</v>
      </c>
      <c r="BH80" s="28" t="e">
        <f t="shared" si="69"/>
        <v>#DIV/0!</v>
      </c>
      <c r="BI80" s="28" t="e">
        <f t="shared" si="70"/>
        <v>#DIV/0!</v>
      </c>
    </row>
    <row r="81" spans="2:61" ht="75" customHeight="1" x14ac:dyDescent="0.25">
      <c r="B81" s="17"/>
      <c r="C81" s="17"/>
      <c r="D81" s="17"/>
      <c r="E81" s="17"/>
      <c r="F81" s="17"/>
      <c r="G81" s="17"/>
      <c r="H81" s="65"/>
      <c r="I81" s="17"/>
      <c r="J81" s="17"/>
      <c r="K81" s="17"/>
      <c r="L81" s="17"/>
      <c r="M81" s="17" t="e">
        <f t="shared" si="2"/>
        <v>#DIV/0!</v>
      </c>
      <c r="N81" s="17"/>
      <c r="O81" s="17"/>
      <c r="P81" s="17"/>
      <c r="Q81" s="17"/>
      <c r="R81" s="17"/>
      <c r="S81" s="17"/>
      <c r="U81" s="17">
        <f t="shared" si="37"/>
        <v>0</v>
      </c>
      <c r="V81" s="17" t="e">
        <f t="shared" si="38"/>
        <v>#DIV/0!</v>
      </c>
      <c r="W81" s="30" t="e">
        <f t="shared" si="39"/>
        <v>#DIV/0!</v>
      </c>
      <c r="X81" s="17" t="e">
        <f t="shared" si="40"/>
        <v>#N/A</v>
      </c>
      <c r="Y81" s="17" t="e">
        <f t="shared" si="41"/>
        <v>#DIV/0!</v>
      </c>
      <c r="Z81" s="17" t="e">
        <f t="shared" si="42"/>
        <v>#N/A</v>
      </c>
      <c r="AA81" s="43" t="e">
        <f t="shared" si="43"/>
        <v>#DIV/0!</v>
      </c>
      <c r="AG81" s="31">
        <f t="shared" si="44"/>
        <v>0</v>
      </c>
      <c r="AH81" s="31">
        <f t="shared" si="45"/>
        <v>0</v>
      </c>
      <c r="AI81" s="28" t="e">
        <f t="shared" si="46"/>
        <v>#N/A</v>
      </c>
      <c r="AJ81" s="28" t="e">
        <f t="shared" si="47"/>
        <v>#N/A</v>
      </c>
      <c r="AK81" s="28" t="e">
        <f t="shared" si="48"/>
        <v>#N/A</v>
      </c>
      <c r="AL81" s="28" t="e">
        <f t="shared" si="49"/>
        <v>#N/A</v>
      </c>
      <c r="AM81" s="28" t="e">
        <f t="shared" si="50"/>
        <v>#N/A</v>
      </c>
      <c r="AN81" s="28" t="e">
        <f t="shared" si="51"/>
        <v>#N/A</v>
      </c>
      <c r="AO81" s="28" t="e">
        <f t="shared" si="52"/>
        <v>#N/A</v>
      </c>
      <c r="AP81" s="28" t="e">
        <f t="shared" si="53"/>
        <v>#N/A</v>
      </c>
      <c r="AQ81" s="28" t="e">
        <f t="shared" si="54"/>
        <v>#N/A</v>
      </c>
      <c r="AR81" s="28" t="e">
        <f t="shared" si="55"/>
        <v>#N/A</v>
      </c>
      <c r="AS81" s="28" t="e">
        <f t="shared" si="56"/>
        <v>#N/A</v>
      </c>
      <c r="AT81" s="28" t="e">
        <f t="shared" si="57"/>
        <v>#N/A</v>
      </c>
      <c r="AV81" s="31" t="e">
        <f>IF(O81&gt;MAX($V$4:$AE$4),MAX($V$4:$AE$4)-0.1,IF(O81&lt;MIN($V$4:$AE63),MIN($V$4:$AE$4)+0.1,O81))</f>
        <v>#DIV/0!</v>
      </c>
      <c r="AW81" s="31">
        <f t="shared" si="58"/>
        <v>0</v>
      </c>
      <c r="AX81" s="28" t="e">
        <f t="shared" si="59"/>
        <v>#DIV/0!</v>
      </c>
      <c r="AY81" s="28" t="e">
        <f t="shared" si="60"/>
        <v>#DIV/0!</v>
      </c>
      <c r="AZ81" s="28" t="e">
        <f t="shared" si="61"/>
        <v>#DIV/0!</v>
      </c>
      <c r="BA81" s="28" t="e">
        <f t="shared" si="62"/>
        <v>#DIV/0!</v>
      </c>
      <c r="BB81" s="28" t="e">
        <f t="shared" si="63"/>
        <v>#N/A</v>
      </c>
      <c r="BC81" s="28" t="e">
        <f t="shared" si="64"/>
        <v>#N/A</v>
      </c>
      <c r="BD81" s="28" t="e">
        <f t="shared" si="65"/>
        <v>#N/A</v>
      </c>
      <c r="BE81" s="28" t="e">
        <f t="shared" si="66"/>
        <v>#N/A</v>
      </c>
      <c r="BF81" s="28" t="e">
        <f t="shared" si="67"/>
        <v>#DIV/0!</v>
      </c>
      <c r="BG81" s="28" t="e">
        <f t="shared" si="68"/>
        <v>#DIV/0!</v>
      </c>
      <c r="BH81" s="28" t="e">
        <f t="shared" si="69"/>
        <v>#DIV/0!</v>
      </c>
      <c r="BI81" s="28" t="e">
        <f t="shared" si="70"/>
        <v>#DIV/0!</v>
      </c>
    </row>
    <row r="82" spans="2:61" ht="75" customHeight="1" x14ac:dyDescent="0.25">
      <c r="B82" s="17"/>
      <c r="C82" s="17"/>
      <c r="D82" s="17"/>
      <c r="E82" s="17"/>
      <c r="F82" s="17"/>
      <c r="G82" s="17"/>
      <c r="H82" s="65"/>
      <c r="I82" s="17"/>
      <c r="J82" s="17"/>
      <c r="K82" s="17"/>
      <c r="L82" s="17"/>
      <c r="M82" s="17" t="e">
        <f t="shared" si="2"/>
        <v>#DIV/0!</v>
      </c>
      <c r="N82" s="17"/>
      <c r="O82" s="17"/>
      <c r="P82" s="17"/>
      <c r="Q82" s="17"/>
      <c r="R82" s="17"/>
      <c r="S82" s="17"/>
      <c r="U82" s="17">
        <f t="shared" si="37"/>
        <v>0</v>
      </c>
      <c r="V82" s="17" t="e">
        <f t="shared" si="38"/>
        <v>#DIV/0!</v>
      </c>
      <c r="W82" s="30" t="e">
        <f t="shared" si="39"/>
        <v>#DIV/0!</v>
      </c>
      <c r="X82" s="17" t="e">
        <f t="shared" si="40"/>
        <v>#N/A</v>
      </c>
      <c r="Y82" s="17" t="e">
        <f t="shared" si="41"/>
        <v>#DIV/0!</v>
      </c>
      <c r="Z82" s="17" t="e">
        <f t="shared" si="42"/>
        <v>#N/A</v>
      </c>
      <c r="AA82" s="43" t="e">
        <f t="shared" si="43"/>
        <v>#DIV/0!</v>
      </c>
      <c r="AG82" s="31">
        <f t="shared" si="44"/>
        <v>0</v>
      </c>
      <c r="AH82" s="31">
        <f t="shared" si="45"/>
        <v>0</v>
      </c>
      <c r="AI82" s="28" t="e">
        <f t="shared" si="46"/>
        <v>#N/A</v>
      </c>
      <c r="AJ82" s="28" t="e">
        <f t="shared" si="47"/>
        <v>#N/A</v>
      </c>
      <c r="AK82" s="28" t="e">
        <f t="shared" si="48"/>
        <v>#N/A</v>
      </c>
      <c r="AL82" s="28" t="e">
        <f t="shared" si="49"/>
        <v>#N/A</v>
      </c>
      <c r="AM82" s="28" t="e">
        <f t="shared" si="50"/>
        <v>#N/A</v>
      </c>
      <c r="AN82" s="28" t="e">
        <f t="shared" si="51"/>
        <v>#N/A</v>
      </c>
      <c r="AO82" s="28" t="e">
        <f t="shared" si="52"/>
        <v>#N/A</v>
      </c>
      <c r="AP82" s="28" t="e">
        <f t="shared" si="53"/>
        <v>#N/A</v>
      </c>
      <c r="AQ82" s="28" t="e">
        <f t="shared" si="54"/>
        <v>#N/A</v>
      </c>
      <c r="AR82" s="28" t="e">
        <f t="shared" si="55"/>
        <v>#N/A</v>
      </c>
      <c r="AS82" s="28" t="e">
        <f t="shared" si="56"/>
        <v>#N/A</v>
      </c>
      <c r="AT82" s="28" t="e">
        <f t="shared" si="57"/>
        <v>#N/A</v>
      </c>
      <c r="AV82" s="31" t="e">
        <f>IF(O82&gt;MAX($V$4:$AE$4),MAX($V$4:$AE$4)-0.1,IF(O82&lt;MIN($V$4:$AE64),MIN($V$4:$AE$4)+0.1,O82))</f>
        <v>#DIV/0!</v>
      </c>
      <c r="AW82" s="31">
        <f t="shared" si="58"/>
        <v>0</v>
      </c>
      <c r="AX82" s="28" t="e">
        <f t="shared" si="59"/>
        <v>#DIV/0!</v>
      </c>
      <c r="AY82" s="28" t="e">
        <f t="shared" si="60"/>
        <v>#DIV/0!</v>
      </c>
      <c r="AZ82" s="28" t="e">
        <f t="shared" si="61"/>
        <v>#DIV/0!</v>
      </c>
      <c r="BA82" s="28" t="e">
        <f t="shared" si="62"/>
        <v>#DIV/0!</v>
      </c>
      <c r="BB82" s="28" t="e">
        <f t="shared" si="63"/>
        <v>#N/A</v>
      </c>
      <c r="BC82" s="28" t="e">
        <f t="shared" si="64"/>
        <v>#N/A</v>
      </c>
      <c r="BD82" s="28" t="e">
        <f t="shared" si="65"/>
        <v>#N/A</v>
      </c>
      <c r="BE82" s="28" t="e">
        <f t="shared" si="66"/>
        <v>#N/A</v>
      </c>
      <c r="BF82" s="28" t="e">
        <f t="shared" si="67"/>
        <v>#DIV/0!</v>
      </c>
      <c r="BG82" s="28" t="e">
        <f t="shared" si="68"/>
        <v>#DIV/0!</v>
      </c>
      <c r="BH82" s="28" t="e">
        <f t="shared" si="69"/>
        <v>#DIV/0!</v>
      </c>
      <c r="BI82" s="28" t="e">
        <f t="shared" si="70"/>
        <v>#DIV/0!</v>
      </c>
    </row>
    <row r="83" spans="2:61" ht="75" customHeight="1" x14ac:dyDescent="0.25">
      <c r="B83" s="17"/>
      <c r="C83" s="17"/>
      <c r="D83" s="17"/>
      <c r="E83" s="17"/>
      <c r="F83" s="17"/>
      <c r="G83" s="17"/>
      <c r="H83" s="65"/>
      <c r="I83" s="17"/>
      <c r="J83" s="17"/>
      <c r="K83" s="17"/>
      <c r="L83" s="17"/>
      <c r="M83" s="17" t="e">
        <f t="shared" si="2"/>
        <v>#DIV/0!</v>
      </c>
      <c r="N83" s="17"/>
      <c r="O83" s="17"/>
      <c r="P83" s="17"/>
      <c r="Q83" s="17"/>
      <c r="R83" s="17"/>
      <c r="S83" s="17"/>
      <c r="U83" s="17">
        <f t="shared" si="37"/>
        <v>0</v>
      </c>
      <c r="V83" s="17" t="e">
        <f t="shared" si="38"/>
        <v>#DIV/0!</v>
      </c>
      <c r="W83" s="30" t="e">
        <f t="shared" si="39"/>
        <v>#DIV/0!</v>
      </c>
      <c r="X83" s="17" t="e">
        <f t="shared" si="40"/>
        <v>#N/A</v>
      </c>
      <c r="Y83" s="17" t="e">
        <f t="shared" si="41"/>
        <v>#DIV/0!</v>
      </c>
      <c r="Z83" s="17" t="e">
        <f t="shared" si="42"/>
        <v>#N/A</v>
      </c>
      <c r="AA83" s="43" t="e">
        <f t="shared" si="43"/>
        <v>#DIV/0!</v>
      </c>
      <c r="AG83" s="31">
        <f t="shared" si="44"/>
        <v>0</v>
      </c>
      <c r="AH83" s="31">
        <f t="shared" si="45"/>
        <v>0</v>
      </c>
      <c r="AI83" s="28" t="e">
        <f t="shared" si="46"/>
        <v>#N/A</v>
      </c>
      <c r="AJ83" s="28" t="e">
        <f t="shared" si="47"/>
        <v>#N/A</v>
      </c>
      <c r="AK83" s="28" t="e">
        <f t="shared" si="48"/>
        <v>#N/A</v>
      </c>
      <c r="AL83" s="28" t="e">
        <f t="shared" si="49"/>
        <v>#N/A</v>
      </c>
      <c r="AM83" s="28" t="e">
        <f t="shared" si="50"/>
        <v>#N/A</v>
      </c>
      <c r="AN83" s="28" t="e">
        <f t="shared" si="51"/>
        <v>#N/A</v>
      </c>
      <c r="AO83" s="28" t="e">
        <f t="shared" si="52"/>
        <v>#N/A</v>
      </c>
      <c r="AP83" s="28" t="e">
        <f t="shared" si="53"/>
        <v>#N/A</v>
      </c>
      <c r="AQ83" s="28" t="e">
        <f t="shared" si="54"/>
        <v>#N/A</v>
      </c>
      <c r="AR83" s="28" t="e">
        <f t="shared" si="55"/>
        <v>#N/A</v>
      </c>
      <c r="AS83" s="28" t="e">
        <f t="shared" si="56"/>
        <v>#N/A</v>
      </c>
      <c r="AT83" s="28" t="e">
        <f t="shared" si="57"/>
        <v>#N/A</v>
      </c>
      <c r="AV83" s="31" t="e">
        <f>IF(O83&gt;MAX($V$4:$AE$4),MAX($V$4:$AE$4)-0.1,IF(O83&lt;MIN($V$4:$AE65),MIN($V$4:$AE$4)+0.1,O83))</f>
        <v>#DIV/0!</v>
      </c>
      <c r="AW83" s="31">
        <f t="shared" si="58"/>
        <v>0</v>
      </c>
      <c r="AX83" s="28" t="e">
        <f t="shared" si="59"/>
        <v>#DIV/0!</v>
      </c>
      <c r="AY83" s="28" t="e">
        <f t="shared" si="60"/>
        <v>#DIV/0!</v>
      </c>
      <c r="AZ83" s="28" t="e">
        <f t="shared" si="61"/>
        <v>#DIV/0!</v>
      </c>
      <c r="BA83" s="28" t="e">
        <f t="shared" si="62"/>
        <v>#DIV/0!</v>
      </c>
      <c r="BB83" s="28" t="e">
        <f t="shared" si="63"/>
        <v>#N/A</v>
      </c>
      <c r="BC83" s="28" t="e">
        <f t="shared" si="64"/>
        <v>#N/A</v>
      </c>
      <c r="BD83" s="28" t="e">
        <f t="shared" si="65"/>
        <v>#N/A</v>
      </c>
      <c r="BE83" s="28" t="e">
        <f t="shared" si="66"/>
        <v>#N/A</v>
      </c>
      <c r="BF83" s="28" t="e">
        <f t="shared" si="67"/>
        <v>#DIV/0!</v>
      </c>
      <c r="BG83" s="28" t="e">
        <f t="shared" si="68"/>
        <v>#DIV/0!</v>
      </c>
      <c r="BH83" s="28" t="e">
        <f t="shared" si="69"/>
        <v>#DIV/0!</v>
      </c>
      <c r="BI83" s="28" t="e">
        <f t="shared" si="70"/>
        <v>#DIV/0!</v>
      </c>
    </row>
    <row r="84" spans="2:61" ht="75" customHeight="1" x14ac:dyDescent="0.25">
      <c r="B84" s="17"/>
      <c r="C84" s="17"/>
      <c r="D84" s="17"/>
      <c r="E84" s="17"/>
      <c r="F84" s="17"/>
      <c r="G84" s="17"/>
      <c r="H84" s="65"/>
      <c r="I84" s="17"/>
      <c r="J84" s="17"/>
      <c r="K84" s="17"/>
      <c r="L84" s="17"/>
      <c r="M84" s="17" t="e">
        <f t="shared" si="2"/>
        <v>#DIV/0!</v>
      </c>
      <c r="N84" s="17"/>
      <c r="O84" s="17"/>
      <c r="P84" s="17"/>
      <c r="Q84" s="17"/>
      <c r="R84" s="17"/>
      <c r="S84" s="17"/>
      <c r="U84" s="17">
        <f t="shared" si="37"/>
        <v>0</v>
      </c>
      <c r="V84" s="17" t="e">
        <f t="shared" si="38"/>
        <v>#DIV/0!</v>
      </c>
      <c r="W84" s="30" t="e">
        <f t="shared" si="39"/>
        <v>#DIV/0!</v>
      </c>
      <c r="X84" s="17" t="e">
        <f t="shared" si="40"/>
        <v>#N/A</v>
      </c>
      <c r="Y84" s="17" t="e">
        <f t="shared" si="41"/>
        <v>#DIV/0!</v>
      </c>
      <c r="Z84" s="17" t="e">
        <f t="shared" si="42"/>
        <v>#N/A</v>
      </c>
      <c r="AA84" s="43" t="e">
        <f t="shared" si="43"/>
        <v>#DIV/0!</v>
      </c>
      <c r="AG84" s="31">
        <f t="shared" si="44"/>
        <v>0</v>
      </c>
      <c r="AH84" s="31">
        <f t="shared" si="45"/>
        <v>0</v>
      </c>
      <c r="AI84" s="28" t="e">
        <f t="shared" si="46"/>
        <v>#N/A</v>
      </c>
      <c r="AJ84" s="28" t="e">
        <f t="shared" si="47"/>
        <v>#N/A</v>
      </c>
      <c r="AK84" s="28" t="e">
        <f t="shared" si="48"/>
        <v>#N/A</v>
      </c>
      <c r="AL84" s="28" t="e">
        <f t="shared" si="49"/>
        <v>#N/A</v>
      </c>
      <c r="AM84" s="28" t="e">
        <f t="shared" si="50"/>
        <v>#N/A</v>
      </c>
      <c r="AN84" s="28" t="e">
        <f t="shared" si="51"/>
        <v>#N/A</v>
      </c>
      <c r="AO84" s="28" t="e">
        <f t="shared" si="52"/>
        <v>#N/A</v>
      </c>
      <c r="AP84" s="28" t="e">
        <f t="shared" si="53"/>
        <v>#N/A</v>
      </c>
      <c r="AQ84" s="28" t="e">
        <f t="shared" si="54"/>
        <v>#N/A</v>
      </c>
      <c r="AR84" s="28" t="e">
        <f t="shared" si="55"/>
        <v>#N/A</v>
      </c>
      <c r="AS84" s="28" t="e">
        <f t="shared" si="56"/>
        <v>#N/A</v>
      </c>
      <c r="AT84" s="28" t="e">
        <f t="shared" si="57"/>
        <v>#N/A</v>
      </c>
      <c r="AV84" s="31" t="e">
        <f>IF(O84&gt;MAX($V$4:$AE$4),MAX($V$4:$AE$4)-0.1,IF(O84&lt;MIN($V$4:$AE66),MIN($V$4:$AE$4)+0.1,O84))</f>
        <v>#DIV/0!</v>
      </c>
      <c r="AW84" s="31">
        <f t="shared" si="58"/>
        <v>0</v>
      </c>
      <c r="AX84" s="28" t="e">
        <f t="shared" si="59"/>
        <v>#DIV/0!</v>
      </c>
      <c r="AY84" s="28" t="e">
        <f t="shared" si="60"/>
        <v>#DIV/0!</v>
      </c>
      <c r="AZ84" s="28" t="e">
        <f t="shared" si="61"/>
        <v>#DIV/0!</v>
      </c>
      <c r="BA84" s="28" t="e">
        <f t="shared" si="62"/>
        <v>#DIV/0!</v>
      </c>
      <c r="BB84" s="28" t="e">
        <f t="shared" si="63"/>
        <v>#N/A</v>
      </c>
      <c r="BC84" s="28" t="e">
        <f t="shared" si="64"/>
        <v>#N/A</v>
      </c>
      <c r="BD84" s="28" t="e">
        <f t="shared" si="65"/>
        <v>#N/A</v>
      </c>
      <c r="BE84" s="28" t="e">
        <f t="shared" si="66"/>
        <v>#N/A</v>
      </c>
      <c r="BF84" s="28" t="e">
        <f t="shared" si="67"/>
        <v>#DIV/0!</v>
      </c>
      <c r="BG84" s="28" t="e">
        <f t="shared" si="68"/>
        <v>#DIV/0!</v>
      </c>
      <c r="BH84" s="28" t="e">
        <f t="shared" si="69"/>
        <v>#DIV/0!</v>
      </c>
      <c r="BI84" s="28" t="e">
        <f t="shared" si="70"/>
        <v>#DIV/0!</v>
      </c>
    </row>
    <row r="85" spans="2:61" ht="75" customHeight="1" x14ac:dyDescent="0.25">
      <c r="B85" s="17"/>
      <c r="C85" s="17"/>
      <c r="D85" s="17"/>
      <c r="E85" s="17"/>
      <c r="F85" s="17"/>
      <c r="G85" s="17"/>
      <c r="H85" s="65"/>
      <c r="I85" s="17"/>
      <c r="J85" s="17"/>
      <c r="K85" s="17"/>
      <c r="L85" s="17"/>
      <c r="M85" s="17" t="e">
        <f t="shared" si="2"/>
        <v>#DIV/0!</v>
      </c>
      <c r="N85" s="17"/>
      <c r="O85" s="17"/>
      <c r="P85" s="17"/>
      <c r="Q85" s="17"/>
      <c r="R85" s="17"/>
      <c r="S85" s="17"/>
      <c r="U85" s="17">
        <f t="shared" si="37"/>
        <v>0</v>
      </c>
      <c r="V85" s="17" t="e">
        <f t="shared" si="38"/>
        <v>#DIV/0!</v>
      </c>
      <c r="W85" s="30" t="e">
        <f t="shared" si="39"/>
        <v>#DIV/0!</v>
      </c>
      <c r="X85" s="17" t="e">
        <f t="shared" si="40"/>
        <v>#N/A</v>
      </c>
      <c r="Y85" s="17" t="e">
        <f t="shared" si="41"/>
        <v>#DIV/0!</v>
      </c>
      <c r="Z85" s="17" t="e">
        <f t="shared" si="42"/>
        <v>#N/A</v>
      </c>
      <c r="AA85" s="43" t="e">
        <f t="shared" si="43"/>
        <v>#DIV/0!</v>
      </c>
      <c r="AG85" s="31">
        <f t="shared" si="44"/>
        <v>0</v>
      </c>
      <c r="AH85" s="31">
        <f t="shared" si="45"/>
        <v>0</v>
      </c>
      <c r="AI85" s="28" t="e">
        <f t="shared" si="46"/>
        <v>#N/A</v>
      </c>
      <c r="AJ85" s="28" t="e">
        <f t="shared" si="47"/>
        <v>#N/A</v>
      </c>
      <c r="AK85" s="28" t="e">
        <f t="shared" si="48"/>
        <v>#N/A</v>
      </c>
      <c r="AL85" s="28" t="e">
        <f t="shared" si="49"/>
        <v>#N/A</v>
      </c>
      <c r="AM85" s="28" t="e">
        <f t="shared" si="50"/>
        <v>#N/A</v>
      </c>
      <c r="AN85" s="28" t="e">
        <f t="shared" si="51"/>
        <v>#N/A</v>
      </c>
      <c r="AO85" s="28" t="e">
        <f t="shared" si="52"/>
        <v>#N/A</v>
      </c>
      <c r="AP85" s="28" t="e">
        <f t="shared" si="53"/>
        <v>#N/A</v>
      </c>
      <c r="AQ85" s="28" t="e">
        <f t="shared" si="54"/>
        <v>#N/A</v>
      </c>
      <c r="AR85" s="28" t="e">
        <f t="shared" si="55"/>
        <v>#N/A</v>
      </c>
      <c r="AS85" s="28" t="e">
        <f t="shared" si="56"/>
        <v>#N/A</v>
      </c>
      <c r="AT85" s="28" t="e">
        <f t="shared" si="57"/>
        <v>#N/A</v>
      </c>
      <c r="AV85" s="31" t="e">
        <f>IF(O85&gt;MAX($V$4:$AE$4),MAX($V$4:$AE$4)-0.1,IF(O85&lt;MIN($V$4:$AE67),MIN($V$4:$AE$4)+0.1,O85))</f>
        <v>#DIV/0!</v>
      </c>
      <c r="AW85" s="31">
        <f t="shared" si="58"/>
        <v>0</v>
      </c>
      <c r="AX85" s="28" t="e">
        <f t="shared" si="59"/>
        <v>#DIV/0!</v>
      </c>
      <c r="AY85" s="28" t="e">
        <f t="shared" si="60"/>
        <v>#DIV/0!</v>
      </c>
      <c r="AZ85" s="28" t="e">
        <f t="shared" si="61"/>
        <v>#DIV/0!</v>
      </c>
      <c r="BA85" s="28" t="e">
        <f t="shared" si="62"/>
        <v>#DIV/0!</v>
      </c>
      <c r="BB85" s="28" t="e">
        <f t="shared" si="63"/>
        <v>#N/A</v>
      </c>
      <c r="BC85" s="28" t="e">
        <f t="shared" si="64"/>
        <v>#N/A</v>
      </c>
      <c r="BD85" s="28" t="e">
        <f t="shared" si="65"/>
        <v>#N/A</v>
      </c>
      <c r="BE85" s="28" t="e">
        <f t="shared" si="66"/>
        <v>#N/A</v>
      </c>
      <c r="BF85" s="28" t="e">
        <f t="shared" si="67"/>
        <v>#DIV/0!</v>
      </c>
      <c r="BG85" s="28" t="e">
        <f t="shared" si="68"/>
        <v>#DIV/0!</v>
      </c>
      <c r="BH85" s="28" t="e">
        <f t="shared" si="69"/>
        <v>#DIV/0!</v>
      </c>
      <c r="BI85" s="28" t="e">
        <f t="shared" si="70"/>
        <v>#DIV/0!</v>
      </c>
    </row>
    <row r="86" spans="2:61" ht="75" customHeight="1" x14ac:dyDescent="0.25">
      <c r="B86" s="17"/>
      <c r="C86" s="17"/>
      <c r="D86" s="17"/>
      <c r="E86" s="17"/>
      <c r="F86" s="17"/>
      <c r="G86" s="17"/>
      <c r="H86" s="65"/>
      <c r="I86" s="17"/>
      <c r="J86" s="17"/>
      <c r="K86" s="17"/>
      <c r="L86" s="17"/>
      <c r="M86" s="17" t="e">
        <f t="shared" ref="M86:M149" si="71">L86/J86</f>
        <v>#DIV/0!</v>
      </c>
      <c r="N86" s="17"/>
      <c r="O86" s="17"/>
      <c r="P86" s="17"/>
      <c r="Q86" s="17"/>
      <c r="R86" s="17"/>
      <c r="S86" s="17"/>
      <c r="U86" s="17">
        <f t="shared" si="37"/>
        <v>0</v>
      </c>
      <c r="V86" s="17" t="e">
        <f t="shared" si="38"/>
        <v>#DIV/0!</v>
      </c>
      <c r="W86" s="30" t="e">
        <f t="shared" si="39"/>
        <v>#DIV/0!</v>
      </c>
      <c r="X86" s="17" t="e">
        <f t="shared" si="40"/>
        <v>#N/A</v>
      </c>
      <c r="Y86" s="17" t="e">
        <f t="shared" si="41"/>
        <v>#DIV/0!</v>
      </c>
      <c r="Z86" s="17" t="e">
        <f t="shared" si="42"/>
        <v>#N/A</v>
      </c>
      <c r="AA86" s="43" t="e">
        <f t="shared" si="43"/>
        <v>#DIV/0!</v>
      </c>
      <c r="AG86" s="31">
        <f t="shared" si="44"/>
        <v>0</v>
      </c>
      <c r="AH86" s="31">
        <f t="shared" si="45"/>
        <v>0</v>
      </c>
      <c r="AI86" s="28" t="e">
        <f t="shared" si="46"/>
        <v>#N/A</v>
      </c>
      <c r="AJ86" s="28" t="e">
        <f t="shared" si="47"/>
        <v>#N/A</v>
      </c>
      <c r="AK86" s="28" t="e">
        <f t="shared" si="48"/>
        <v>#N/A</v>
      </c>
      <c r="AL86" s="28" t="e">
        <f t="shared" si="49"/>
        <v>#N/A</v>
      </c>
      <c r="AM86" s="28" t="e">
        <f t="shared" si="50"/>
        <v>#N/A</v>
      </c>
      <c r="AN86" s="28" t="e">
        <f t="shared" si="51"/>
        <v>#N/A</v>
      </c>
      <c r="AO86" s="28" t="e">
        <f t="shared" si="52"/>
        <v>#N/A</v>
      </c>
      <c r="AP86" s="28" t="e">
        <f t="shared" si="53"/>
        <v>#N/A</v>
      </c>
      <c r="AQ86" s="28" t="e">
        <f t="shared" si="54"/>
        <v>#N/A</v>
      </c>
      <c r="AR86" s="28" t="e">
        <f t="shared" si="55"/>
        <v>#N/A</v>
      </c>
      <c r="AS86" s="28" t="e">
        <f t="shared" si="56"/>
        <v>#N/A</v>
      </c>
      <c r="AT86" s="28" t="e">
        <f t="shared" si="57"/>
        <v>#N/A</v>
      </c>
      <c r="AV86" s="31" t="e">
        <f>IF(O86&gt;MAX($V$4:$AE$4),MAX($V$4:$AE$4)-0.1,IF(O86&lt;MIN($V$4:$AE68),MIN($V$4:$AE$4)+0.1,O86))</f>
        <v>#DIV/0!</v>
      </c>
      <c r="AW86" s="31">
        <f t="shared" si="58"/>
        <v>0</v>
      </c>
      <c r="AX86" s="28" t="e">
        <f t="shared" si="59"/>
        <v>#DIV/0!</v>
      </c>
      <c r="AY86" s="28" t="e">
        <f t="shared" si="60"/>
        <v>#DIV/0!</v>
      </c>
      <c r="AZ86" s="28" t="e">
        <f t="shared" si="61"/>
        <v>#DIV/0!</v>
      </c>
      <c r="BA86" s="28" t="e">
        <f t="shared" si="62"/>
        <v>#DIV/0!</v>
      </c>
      <c r="BB86" s="28" t="e">
        <f t="shared" si="63"/>
        <v>#N/A</v>
      </c>
      <c r="BC86" s="28" t="e">
        <f t="shared" si="64"/>
        <v>#N/A</v>
      </c>
      <c r="BD86" s="28" t="e">
        <f t="shared" si="65"/>
        <v>#N/A</v>
      </c>
      <c r="BE86" s="28" t="e">
        <f t="shared" si="66"/>
        <v>#N/A</v>
      </c>
      <c r="BF86" s="28" t="e">
        <f t="shared" si="67"/>
        <v>#DIV/0!</v>
      </c>
      <c r="BG86" s="28" t="e">
        <f t="shared" si="68"/>
        <v>#DIV/0!</v>
      </c>
      <c r="BH86" s="28" t="e">
        <f t="shared" si="69"/>
        <v>#DIV/0!</v>
      </c>
      <c r="BI86" s="28" t="e">
        <f t="shared" si="70"/>
        <v>#DIV/0!</v>
      </c>
    </row>
    <row r="87" spans="2:61" ht="75" customHeight="1" x14ac:dyDescent="0.25">
      <c r="B87" s="17"/>
      <c r="C87" s="17"/>
      <c r="D87" s="17"/>
      <c r="E87" s="17"/>
      <c r="F87" s="17"/>
      <c r="G87" s="17"/>
      <c r="H87" s="65"/>
      <c r="I87" s="17"/>
      <c r="J87" s="17"/>
      <c r="K87" s="17"/>
      <c r="L87" s="17"/>
      <c r="M87" s="17" t="e">
        <f t="shared" si="71"/>
        <v>#DIV/0!</v>
      </c>
      <c r="N87" s="17"/>
      <c r="O87" s="17"/>
      <c r="P87" s="17"/>
      <c r="Q87" s="17"/>
      <c r="R87" s="17"/>
      <c r="S87" s="17"/>
      <c r="U87" s="17">
        <f t="shared" si="37"/>
        <v>0</v>
      </c>
      <c r="V87" s="17" t="e">
        <f t="shared" si="38"/>
        <v>#DIV/0!</v>
      </c>
      <c r="W87" s="30" t="e">
        <f t="shared" si="39"/>
        <v>#DIV/0!</v>
      </c>
      <c r="X87" s="17" t="e">
        <f t="shared" si="40"/>
        <v>#N/A</v>
      </c>
      <c r="Y87" s="17" t="e">
        <f t="shared" si="41"/>
        <v>#DIV/0!</v>
      </c>
      <c r="Z87" s="17" t="e">
        <f t="shared" si="42"/>
        <v>#N/A</v>
      </c>
      <c r="AA87" s="43" t="e">
        <f t="shared" si="43"/>
        <v>#DIV/0!</v>
      </c>
      <c r="AG87" s="31">
        <f t="shared" si="44"/>
        <v>0</v>
      </c>
      <c r="AH87" s="31">
        <f t="shared" si="45"/>
        <v>0</v>
      </c>
      <c r="AI87" s="28" t="e">
        <f t="shared" si="46"/>
        <v>#N/A</v>
      </c>
      <c r="AJ87" s="28" t="e">
        <f t="shared" si="47"/>
        <v>#N/A</v>
      </c>
      <c r="AK87" s="28" t="e">
        <f t="shared" si="48"/>
        <v>#N/A</v>
      </c>
      <c r="AL87" s="28" t="e">
        <f t="shared" si="49"/>
        <v>#N/A</v>
      </c>
      <c r="AM87" s="28" t="e">
        <f t="shared" si="50"/>
        <v>#N/A</v>
      </c>
      <c r="AN87" s="28" t="e">
        <f t="shared" si="51"/>
        <v>#N/A</v>
      </c>
      <c r="AO87" s="28" t="e">
        <f t="shared" si="52"/>
        <v>#N/A</v>
      </c>
      <c r="AP87" s="28" t="e">
        <f t="shared" si="53"/>
        <v>#N/A</v>
      </c>
      <c r="AQ87" s="28" t="e">
        <f t="shared" si="54"/>
        <v>#N/A</v>
      </c>
      <c r="AR87" s="28" t="e">
        <f t="shared" si="55"/>
        <v>#N/A</v>
      </c>
      <c r="AS87" s="28" t="e">
        <f t="shared" si="56"/>
        <v>#N/A</v>
      </c>
      <c r="AT87" s="28" t="e">
        <f t="shared" si="57"/>
        <v>#N/A</v>
      </c>
      <c r="AV87" s="31" t="e">
        <f>IF(O87&gt;MAX($V$4:$AE$4),MAX($V$4:$AE$4)-0.1,IF(O87&lt;MIN($V$4:$AE69),MIN($V$4:$AE$4)+0.1,O87))</f>
        <v>#DIV/0!</v>
      </c>
      <c r="AW87" s="31">
        <f t="shared" si="58"/>
        <v>0</v>
      </c>
      <c r="AX87" s="28" t="e">
        <f t="shared" si="59"/>
        <v>#DIV/0!</v>
      </c>
      <c r="AY87" s="28" t="e">
        <f t="shared" si="60"/>
        <v>#DIV/0!</v>
      </c>
      <c r="AZ87" s="28" t="e">
        <f t="shared" si="61"/>
        <v>#DIV/0!</v>
      </c>
      <c r="BA87" s="28" t="e">
        <f t="shared" si="62"/>
        <v>#DIV/0!</v>
      </c>
      <c r="BB87" s="28" t="e">
        <f t="shared" si="63"/>
        <v>#N/A</v>
      </c>
      <c r="BC87" s="28" t="e">
        <f t="shared" si="64"/>
        <v>#N/A</v>
      </c>
      <c r="BD87" s="28" t="e">
        <f t="shared" si="65"/>
        <v>#N/A</v>
      </c>
      <c r="BE87" s="28" t="e">
        <f t="shared" si="66"/>
        <v>#N/A</v>
      </c>
      <c r="BF87" s="28" t="e">
        <f t="shared" si="67"/>
        <v>#DIV/0!</v>
      </c>
      <c r="BG87" s="28" t="e">
        <f t="shared" si="68"/>
        <v>#DIV/0!</v>
      </c>
      <c r="BH87" s="28" t="e">
        <f t="shared" si="69"/>
        <v>#DIV/0!</v>
      </c>
      <c r="BI87" s="28" t="e">
        <f t="shared" si="70"/>
        <v>#DIV/0!</v>
      </c>
    </row>
    <row r="88" spans="2:61" ht="75" customHeight="1" x14ac:dyDescent="0.25">
      <c r="B88" s="17"/>
      <c r="C88" s="17"/>
      <c r="D88" s="17"/>
      <c r="E88" s="17"/>
      <c r="F88" s="17"/>
      <c r="G88" s="17"/>
      <c r="H88" s="65"/>
      <c r="I88" s="17"/>
      <c r="J88" s="17"/>
      <c r="K88" s="17"/>
      <c r="L88" s="17"/>
      <c r="M88" s="17" t="e">
        <f t="shared" si="71"/>
        <v>#DIV/0!</v>
      </c>
      <c r="N88" s="17"/>
      <c r="O88" s="17"/>
      <c r="P88" s="17"/>
      <c r="Q88" s="17"/>
      <c r="R88" s="17"/>
      <c r="S88" s="17"/>
      <c r="U88" s="17">
        <f t="shared" si="37"/>
        <v>0</v>
      </c>
      <c r="V88" s="17" t="e">
        <f t="shared" si="38"/>
        <v>#DIV/0!</v>
      </c>
      <c r="W88" s="30" t="e">
        <f t="shared" si="39"/>
        <v>#DIV/0!</v>
      </c>
      <c r="X88" s="17" t="e">
        <f t="shared" si="40"/>
        <v>#N/A</v>
      </c>
      <c r="Y88" s="17" t="e">
        <f t="shared" si="41"/>
        <v>#DIV/0!</v>
      </c>
      <c r="Z88" s="17" t="e">
        <f t="shared" si="42"/>
        <v>#N/A</v>
      </c>
      <c r="AA88" s="43" t="e">
        <f t="shared" si="43"/>
        <v>#DIV/0!</v>
      </c>
      <c r="AG88" s="31">
        <f t="shared" si="44"/>
        <v>0</v>
      </c>
      <c r="AH88" s="31">
        <f t="shared" si="45"/>
        <v>0</v>
      </c>
      <c r="AI88" s="28" t="e">
        <f t="shared" si="46"/>
        <v>#N/A</v>
      </c>
      <c r="AJ88" s="28" t="e">
        <f t="shared" si="47"/>
        <v>#N/A</v>
      </c>
      <c r="AK88" s="28" t="e">
        <f t="shared" si="48"/>
        <v>#N/A</v>
      </c>
      <c r="AL88" s="28" t="e">
        <f t="shared" si="49"/>
        <v>#N/A</v>
      </c>
      <c r="AM88" s="28" t="e">
        <f t="shared" si="50"/>
        <v>#N/A</v>
      </c>
      <c r="AN88" s="28" t="e">
        <f t="shared" si="51"/>
        <v>#N/A</v>
      </c>
      <c r="AO88" s="28" t="e">
        <f t="shared" si="52"/>
        <v>#N/A</v>
      </c>
      <c r="AP88" s="28" t="e">
        <f t="shared" si="53"/>
        <v>#N/A</v>
      </c>
      <c r="AQ88" s="28" t="e">
        <f t="shared" si="54"/>
        <v>#N/A</v>
      </c>
      <c r="AR88" s="28" t="e">
        <f t="shared" si="55"/>
        <v>#N/A</v>
      </c>
      <c r="AS88" s="28" t="e">
        <f t="shared" si="56"/>
        <v>#N/A</v>
      </c>
      <c r="AT88" s="28" t="e">
        <f t="shared" si="57"/>
        <v>#N/A</v>
      </c>
      <c r="AV88" s="31" t="e">
        <f>IF(O88&gt;MAX($V$4:$AE$4),MAX($V$4:$AE$4)-0.1,IF(O88&lt;MIN($V$4:$AE70),MIN($V$4:$AE$4)+0.1,O88))</f>
        <v>#DIV/0!</v>
      </c>
      <c r="AW88" s="31">
        <f t="shared" si="58"/>
        <v>0</v>
      </c>
      <c r="AX88" s="28" t="e">
        <f t="shared" si="59"/>
        <v>#DIV/0!</v>
      </c>
      <c r="AY88" s="28" t="e">
        <f t="shared" si="60"/>
        <v>#DIV/0!</v>
      </c>
      <c r="AZ88" s="28" t="e">
        <f t="shared" si="61"/>
        <v>#DIV/0!</v>
      </c>
      <c r="BA88" s="28" t="e">
        <f t="shared" si="62"/>
        <v>#DIV/0!</v>
      </c>
      <c r="BB88" s="28" t="e">
        <f t="shared" si="63"/>
        <v>#N/A</v>
      </c>
      <c r="BC88" s="28" t="e">
        <f t="shared" si="64"/>
        <v>#N/A</v>
      </c>
      <c r="BD88" s="28" t="e">
        <f t="shared" si="65"/>
        <v>#N/A</v>
      </c>
      <c r="BE88" s="28" t="e">
        <f t="shared" si="66"/>
        <v>#N/A</v>
      </c>
      <c r="BF88" s="28" t="e">
        <f t="shared" si="67"/>
        <v>#DIV/0!</v>
      </c>
      <c r="BG88" s="28" t="e">
        <f t="shared" si="68"/>
        <v>#DIV/0!</v>
      </c>
      <c r="BH88" s="28" t="e">
        <f t="shared" si="69"/>
        <v>#DIV/0!</v>
      </c>
      <c r="BI88" s="28" t="e">
        <f t="shared" si="70"/>
        <v>#DIV/0!</v>
      </c>
    </row>
    <row r="89" spans="2:61" ht="75" customHeight="1" x14ac:dyDescent="0.25">
      <c r="B89" s="17"/>
      <c r="C89" s="17"/>
      <c r="D89" s="17"/>
      <c r="E89" s="17"/>
      <c r="F89" s="17"/>
      <c r="G89" s="17"/>
      <c r="H89" s="65"/>
      <c r="I89" s="17"/>
      <c r="J89" s="17"/>
      <c r="K89" s="17"/>
      <c r="L89" s="17"/>
      <c r="M89" s="17" t="e">
        <f t="shared" si="71"/>
        <v>#DIV/0!</v>
      </c>
      <c r="N89" s="17"/>
      <c r="O89" s="17"/>
      <c r="P89" s="17"/>
      <c r="Q89" s="17"/>
      <c r="R89" s="17"/>
      <c r="S89" s="17"/>
      <c r="U89" s="17">
        <f t="shared" si="37"/>
        <v>0</v>
      </c>
      <c r="V89" s="17" t="e">
        <f t="shared" si="38"/>
        <v>#DIV/0!</v>
      </c>
      <c r="W89" s="30" t="e">
        <f t="shared" si="39"/>
        <v>#DIV/0!</v>
      </c>
      <c r="X89" s="17" t="e">
        <f t="shared" si="40"/>
        <v>#N/A</v>
      </c>
      <c r="Y89" s="17" t="e">
        <f t="shared" si="41"/>
        <v>#DIV/0!</v>
      </c>
      <c r="Z89" s="17" t="e">
        <f t="shared" si="42"/>
        <v>#N/A</v>
      </c>
      <c r="AA89" s="43" t="e">
        <f t="shared" si="43"/>
        <v>#DIV/0!</v>
      </c>
      <c r="AG89" s="31">
        <f t="shared" si="44"/>
        <v>0</v>
      </c>
      <c r="AH89" s="31">
        <f t="shared" si="45"/>
        <v>0</v>
      </c>
      <c r="AI89" s="28" t="e">
        <f t="shared" si="46"/>
        <v>#N/A</v>
      </c>
      <c r="AJ89" s="28" t="e">
        <f t="shared" si="47"/>
        <v>#N/A</v>
      </c>
      <c r="AK89" s="28" t="e">
        <f t="shared" si="48"/>
        <v>#N/A</v>
      </c>
      <c r="AL89" s="28" t="e">
        <f t="shared" si="49"/>
        <v>#N/A</v>
      </c>
      <c r="AM89" s="28" t="e">
        <f t="shared" si="50"/>
        <v>#N/A</v>
      </c>
      <c r="AN89" s="28" t="e">
        <f t="shared" si="51"/>
        <v>#N/A</v>
      </c>
      <c r="AO89" s="28" t="e">
        <f t="shared" si="52"/>
        <v>#N/A</v>
      </c>
      <c r="AP89" s="28" t="e">
        <f t="shared" si="53"/>
        <v>#N/A</v>
      </c>
      <c r="AQ89" s="28" t="e">
        <f t="shared" si="54"/>
        <v>#N/A</v>
      </c>
      <c r="AR89" s="28" t="e">
        <f t="shared" si="55"/>
        <v>#N/A</v>
      </c>
      <c r="AS89" s="28" t="e">
        <f t="shared" si="56"/>
        <v>#N/A</v>
      </c>
      <c r="AT89" s="28" t="e">
        <f t="shared" si="57"/>
        <v>#N/A</v>
      </c>
      <c r="AV89" s="31" t="e">
        <f>IF(O89&gt;MAX($V$4:$AE$4),MAX($V$4:$AE$4)-0.1,IF(O89&lt;MIN($V$4:$AE71),MIN($V$4:$AE$4)+0.1,O89))</f>
        <v>#DIV/0!</v>
      </c>
      <c r="AW89" s="31">
        <f t="shared" si="58"/>
        <v>0</v>
      </c>
      <c r="AX89" s="28" t="e">
        <f t="shared" si="59"/>
        <v>#DIV/0!</v>
      </c>
      <c r="AY89" s="28" t="e">
        <f t="shared" si="60"/>
        <v>#DIV/0!</v>
      </c>
      <c r="AZ89" s="28" t="e">
        <f t="shared" si="61"/>
        <v>#DIV/0!</v>
      </c>
      <c r="BA89" s="28" t="e">
        <f t="shared" si="62"/>
        <v>#DIV/0!</v>
      </c>
      <c r="BB89" s="28" t="e">
        <f t="shared" si="63"/>
        <v>#N/A</v>
      </c>
      <c r="BC89" s="28" t="e">
        <f t="shared" si="64"/>
        <v>#N/A</v>
      </c>
      <c r="BD89" s="28" t="e">
        <f t="shared" si="65"/>
        <v>#N/A</v>
      </c>
      <c r="BE89" s="28" t="e">
        <f t="shared" si="66"/>
        <v>#N/A</v>
      </c>
      <c r="BF89" s="28" t="e">
        <f t="shared" si="67"/>
        <v>#DIV/0!</v>
      </c>
      <c r="BG89" s="28" t="e">
        <f t="shared" si="68"/>
        <v>#DIV/0!</v>
      </c>
      <c r="BH89" s="28" t="e">
        <f t="shared" si="69"/>
        <v>#DIV/0!</v>
      </c>
      <c r="BI89" s="28" t="e">
        <f t="shared" si="70"/>
        <v>#DIV/0!</v>
      </c>
    </row>
    <row r="90" spans="2:61" ht="75" customHeight="1" x14ac:dyDescent="0.25">
      <c r="B90" s="17"/>
      <c r="C90" s="17"/>
      <c r="D90" s="17"/>
      <c r="E90" s="17"/>
      <c r="F90" s="17"/>
      <c r="G90" s="17"/>
      <c r="H90" s="65"/>
      <c r="I90" s="17"/>
      <c r="J90" s="17"/>
      <c r="K90" s="17"/>
      <c r="L90" s="17"/>
      <c r="M90" s="17" t="e">
        <f t="shared" si="71"/>
        <v>#DIV/0!</v>
      </c>
      <c r="N90" s="17"/>
      <c r="O90" s="17"/>
      <c r="P90" s="17"/>
      <c r="Q90" s="17"/>
      <c r="R90" s="17"/>
      <c r="S90" s="17"/>
      <c r="U90" s="17">
        <f t="shared" si="37"/>
        <v>0</v>
      </c>
      <c r="V90" s="17" t="e">
        <f t="shared" si="38"/>
        <v>#DIV/0!</v>
      </c>
      <c r="W90" s="30" t="e">
        <f t="shared" si="39"/>
        <v>#DIV/0!</v>
      </c>
      <c r="X90" s="17" t="e">
        <f t="shared" si="40"/>
        <v>#N/A</v>
      </c>
      <c r="Y90" s="17" t="e">
        <f t="shared" si="41"/>
        <v>#DIV/0!</v>
      </c>
      <c r="Z90" s="17" t="e">
        <f t="shared" si="42"/>
        <v>#N/A</v>
      </c>
      <c r="AA90" s="43" t="e">
        <f t="shared" si="43"/>
        <v>#DIV/0!</v>
      </c>
      <c r="AG90" s="31">
        <f t="shared" si="44"/>
        <v>0</v>
      </c>
      <c r="AH90" s="31">
        <f t="shared" si="45"/>
        <v>0</v>
      </c>
      <c r="AI90" s="28" t="e">
        <f t="shared" si="46"/>
        <v>#N/A</v>
      </c>
      <c r="AJ90" s="28" t="e">
        <f t="shared" si="47"/>
        <v>#N/A</v>
      </c>
      <c r="AK90" s="28" t="e">
        <f t="shared" si="48"/>
        <v>#N/A</v>
      </c>
      <c r="AL90" s="28" t="e">
        <f t="shared" si="49"/>
        <v>#N/A</v>
      </c>
      <c r="AM90" s="28" t="e">
        <f t="shared" si="50"/>
        <v>#N/A</v>
      </c>
      <c r="AN90" s="28" t="e">
        <f t="shared" si="51"/>
        <v>#N/A</v>
      </c>
      <c r="AO90" s="28" t="e">
        <f t="shared" si="52"/>
        <v>#N/A</v>
      </c>
      <c r="AP90" s="28" t="e">
        <f t="shared" si="53"/>
        <v>#N/A</v>
      </c>
      <c r="AQ90" s="28" t="e">
        <f t="shared" si="54"/>
        <v>#N/A</v>
      </c>
      <c r="AR90" s="28" t="e">
        <f t="shared" si="55"/>
        <v>#N/A</v>
      </c>
      <c r="AS90" s="28" t="e">
        <f t="shared" si="56"/>
        <v>#N/A</v>
      </c>
      <c r="AT90" s="28" t="e">
        <f t="shared" si="57"/>
        <v>#N/A</v>
      </c>
      <c r="AV90" s="31" t="e">
        <f>IF(O90&gt;MAX($V$4:$AE$4),MAX($V$4:$AE$4)-0.1,IF(O90&lt;MIN($V$4:$AE72),MIN($V$4:$AE$4)+0.1,O90))</f>
        <v>#DIV/0!</v>
      </c>
      <c r="AW90" s="31">
        <f t="shared" si="58"/>
        <v>0</v>
      </c>
      <c r="AX90" s="28" t="e">
        <f t="shared" si="59"/>
        <v>#DIV/0!</v>
      </c>
      <c r="AY90" s="28" t="e">
        <f t="shared" si="60"/>
        <v>#DIV/0!</v>
      </c>
      <c r="AZ90" s="28" t="e">
        <f t="shared" si="61"/>
        <v>#DIV/0!</v>
      </c>
      <c r="BA90" s="28" t="e">
        <f t="shared" si="62"/>
        <v>#DIV/0!</v>
      </c>
      <c r="BB90" s="28" t="e">
        <f t="shared" si="63"/>
        <v>#N/A</v>
      </c>
      <c r="BC90" s="28" t="e">
        <f t="shared" si="64"/>
        <v>#N/A</v>
      </c>
      <c r="BD90" s="28" t="e">
        <f t="shared" si="65"/>
        <v>#N/A</v>
      </c>
      <c r="BE90" s="28" t="e">
        <f t="shared" si="66"/>
        <v>#N/A</v>
      </c>
      <c r="BF90" s="28" t="e">
        <f t="shared" si="67"/>
        <v>#DIV/0!</v>
      </c>
      <c r="BG90" s="28" t="e">
        <f t="shared" si="68"/>
        <v>#DIV/0!</v>
      </c>
      <c r="BH90" s="28" t="e">
        <f t="shared" si="69"/>
        <v>#DIV/0!</v>
      </c>
      <c r="BI90" s="28" t="e">
        <f t="shared" si="70"/>
        <v>#DIV/0!</v>
      </c>
    </row>
    <row r="91" spans="2:61" ht="75" customHeight="1" x14ac:dyDescent="0.25">
      <c r="B91" s="17"/>
      <c r="C91" s="17"/>
      <c r="D91" s="17"/>
      <c r="E91" s="17"/>
      <c r="F91" s="17"/>
      <c r="G91" s="17"/>
      <c r="H91" s="65"/>
      <c r="I91" s="17"/>
      <c r="J91" s="17"/>
      <c r="K91" s="17"/>
      <c r="L91" s="17"/>
      <c r="M91" s="17" t="e">
        <f t="shared" si="71"/>
        <v>#DIV/0!</v>
      </c>
      <c r="N91" s="17"/>
      <c r="O91" s="17"/>
      <c r="P91" s="17"/>
      <c r="Q91" s="17"/>
      <c r="R91" s="17"/>
      <c r="S91" s="17"/>
      <c r="U91" s="17">
        <f t="shared" si="37"/>
        <v>0</v>
      </c>
      <c r="V91" s="17" t="e">
        <f t="shared" si="38"/>
        <v>#DIV/0!</v>
      </c>
      <c r="W91" s="30" t="e">
        <f t="shared" si="39"/>
        <v>#DIV/0!</v>
      </c>
      <c r="X91" s="17" t="e">
        <f t="shared" si="40"/>
        <v>#N/A</v>
      </c>
      <c r="Y91" s="17" t="e">
        <f t="shared" si="41"/>
        <v>#DIV/0!</v>
      </c>
      <c r="Z91" s="17" t="e">
        <f t="shared" si="42"/>
        <v>#N/A</v>
      </c>
      <c r="AA91" s="43" t="e">
        <f t="shared" si="43"/>
        <v>#DIV/0!</v>
      </c>
      <c r="AG91" s="31">
        <f t="shared" si="44"/>
        <v>0</v>
      </c>
      <c r="AH91" s="31">
        <f t="shared" si="45"/>
        <v>0</v>
      </c>
      <c r="AI91" s="28" t="e">
        <f t="shared" si="46"/>
        <v>#N/A</v>
      </c>
      <c r="AJ91" s="28" t="e">
        <f t="shared" si="47"/>
        <v>#N/A</v>
      </c>
      <c r="AK91" s="28" t="e">
        <f t="shared" si="48"/>
        <v>#N/A</v>
      </c>
      <c r="AL91" s="28" t="e">
        <f t="shared" si="49"/>
        <v>#N/A</v>
      </c>
      <c r="AM91" s="28" t="e">
        <f t="shared" si="50"/>
        <v>#N/A</v>
      </c>
      <c r="AN91" s="28" t="e">
        <f t="shared" si="51"/>
        <v>#N/A</v>
      </c>
      <c r="AO91" s="28" t="e">
        <f t="shared" si="52"/>
        <v>#N/A</v>
      </c>
      <c r="AP91" s="28" t="e">
        <f t="shared" si="53"/>
        <v>#N/A</v>
      </c>
      <c r="AQ91" s="28" t="e">
        <f t="shared" si="54"/>
        <v>#N/A</v>
      </c>
      <c r="AR91" s="28" t="e">
        <f t="shared" si="55"/>
        <v>#N/A</v>
      </c>
      <c r="AS91" s="28" t="e">
        <f t="shared" si="56"/>
        <v>#N/A</v>
      </c>
      <c r="AT91" s="28" t="e">
        <f t="shared" si="57"/>
        <v>#N/A</v>
      </c>
      <c r="AV91" s="31" t="e">
        <f>IF(O91&gt;MAX($V$4:$AE$4),MAX($V$4:$AE$4)-0.1,IF(O91&lt;MIN($V$4:$AE73),MIN($V$4:$AE$4)+0.1,O91))</f>
        <v>#DIV/0!</v>
      </c>
      <c r="AW91" s="31">
        <f t="shared" si="58"/>
        <v>0</v>
      </c>
      <c r="AX91" s="28" t="e">
        <f t="shared" si="59"/>
        <v>#DIV/0!</v>
      </c>
      <c r="AY91" s="28" t="e">
        <f t="shared" si="60"/>
        <v>#DIV/0!</v>
      </c>
      <c r="AZ91" s="28" t="e">
        <f t="shared" si="61"/>
        <v>#DIV/0!</v>
      </c>
      <c r="BA91" s="28" t="e">
        <f t="shared" si="62"/>
        <v>#DIV/0!</v>
      </c>
      <c r="BB91" s="28" t="e">
        <f t="shared" si="63"/>
        <v>#N/A</v>
      </c>
      <c r="BC91" s="28" t="e">
        <f t="shared" si="64"/>
        <v>#N/A</v>
      </c>
      <c r="BD91" s="28" t="e">
        <f t="shared" si="65"/>
        <v>#N/A</v>
      </c>
      <c r="BE91" s="28" t="e">
        <f t="shared" si="66"/>
        <v>#N/A</v>
      </c>
      <c r="BF91" s="28" t="e">
        <f t="shared" si="67"/>
        <v>#DIV/0!</v>
      </c>
      <c r="BG91" s="28" t="e">
        <f t="shared" si="68"/>
        <v>#DIV/0!</v>
      </c>
      <c r="BH91" s="28" t="e">
        <f t="shared" si="69"/>
        <v>#DIV/0!</v>
      </c>
      <c r="BI91" s="28" t="e">
        <f t="shared" si="70"/>
        <v>#DIV/0!</v>
      </c>
    </row>
    <row r="92" spans="2:61" ht="75" customHeight="1" x14ac:dyDescent="0.25">
      <c r="B92" s="17"/>
      <c r="C92" s="17"/>
      <c r="D92" s="17"/>
      <c r="E92" s="17"/>
      <c r="F92" s="17"/>
      <c r="G92" s="17"/>
      <c r="H92" s="65"/>
      <c r="I92" s="17"/>
      <c r="J92" s="17"/>
      <c r="K92" s="17"/>
      <c r="L92" s="17"/>
      <c r="M92" s="17" t="e">
        <f t="shared" si="71"/>
        <v>#DIV/0!</v>
      </c>
      <c r="N92" s="17"/>
      <c r="O92" s="17"/>
      <c r="P92" s="17"/>
      <c r="Q92" s="17"/>
      <c r="R92" s="17"/>
      <c r="S92" s="17"/>
      <c r="U92" s="17">
        <f t="shared" si="37"/>
        <v>0</v>
      </c>
      <c r="V92" s="17" t="e">
        <f t="shared" si="38"/>
        <v>#DIV/0!</v>
      </c>
      <c r="W92" s="30" t="e">
        <f t="shared" si="39"/>
        <v>#DIV/0!</v>
      </c>
      <c r="X92" s="17" t="e">
        <f t="shared" si="40"/>
        <v>#N/A</v>
      </c>
      <c r="Y92" s="17" t="e">
        <f t="shared" si="41"/>
        <v>#DIV/0!</v>
      </c>
      <c r="Z92" s="17" t="e">
        <f t="shared" si="42"/>
        <v>#N/A</v>
      </c>
      <c r="AA92" s="43" t="e">
        <f t="shared" si="43"/>
        <v>#DIV/0!</v>
      </c>
      <c r="AG92" s="31">
        <f t="shared" si="44"/>
        <v>0</v>
      </c>
      <c r="AH92" s="31">
        <f t="shared" si="45"/>
        <v>0</v>
      </c>
      <c r="AI92" s="28" t="e">
        <f t="shared" si="46"/>
        <v>#N/A</v>
      </c>
      <c r="AJ92" s="28" t="e">
        <f t="shared" si="47"/>
        <v>#N/A</v>
      </c>
      <c r="AK92" s="28" t="e">
        <f t="shared" si="48"/>
        <v>#N/A</v>
      </c>
      <c r="AL92" s="28" t="e">
        <f t="shared" si="49"/>
        <v>#N/A</v>
      </c>
      <c r="AM92" s="28" t="e">
        <f t="shared" si="50"/>
        <v>#N/A</v>
      </c>
      <c r="AN92" s="28" t="e">
        <f t="shared" si="51"/>
        <v>#N/A</v>
      </c>
      <c r="AO92" s="28" t="e">
        <f t="shared" si="52"/>
        <v>#N/A</v>
      </c>
      <c r="AP92" s="28" t="e">
        <f t="shared" si="53"/>
        <v>#N/A</v>
      </c>
      <c r="AQ92" s="28" t="e">
        <f t="shared" si="54"/>
        <v>#N/A</v>
      </c>
      <c r="AR92" s="28" t="e">
        <f t="shared" si="55"/>
        <v>#N/A</v>
      </c>
      <c r="AS92" s="28" t="e">
        <f t="shared" si="56"/>
        <v>#N/A</v>
      </c>
      <c r="AT92" s="28" t="e">
        <f t="shared" si="57"/>
        <v>#N/A</v>
      </c>
      <c r="AV92" s="31" t="e">
        <f>IF(O92&gt;MAX($V$4:$AE$4),MAX($V$4:$AE$4)-0.1,IF(O92&lt;MIN($V$4:$AE74),MIN($V$4:$AE$4)+0.1,O92))</f>
        <v>#DIV/0!</v>
      </c>
      <c r="AW92" s="31">
        <f t="shared" si="58"/>
        <v>0</v>
      </c>
      <c r="AX92" s="28" t="e">
        <f t="shared" si="59"/>
        <v>#DIV/0!</v>
      </c>
      <c r="AY92" s="28" t="e">
        <f t="shared" si="60"/>
        <v>#DIV/0!</v>
      </c>
      <c r="AZ92" s="28" t="e">
        <f t="shared" si="61"/>
        <v>#DIV/0!</v>
      </c>
      <c r="BA92" s="28" t="e">
        <f t="shared" si="62"/>
        <v>#DIV/0!</v>
      </c>
      <c r="BB92" s="28" t="e">
        <f t="shared" si="63"/>
        <v>#N/A</v>
      </c>
      <c r="BC92" s="28" t="e">
        <f t="shared" si="64"/>
        <v>#N/A</v>
      </c>
      <c r="BD92" s="28" t="e">
        <f t="shared" si="65"/>
        <v>#N/A</v>
      </c>
      <c r="BE92" s="28" t="e">
        <f t="shared" si="66"/>
        <v>#N/A</v>
      </c>
      <c r="BF92" s="28" t="e">
        <f t="shared" si="67"/>
        <v>#DIV/0!</v>
      </c>
      <c r="BG92" s="28" t="e">
        <f t="shared" si="68"/>
        <v>#DIV/0!</v>
      </c>
      <c r="BH92" s="28" t="e">
        <f t="shared" si="69"/>
        <v>#DIV/0!</v>
      </c>
      <c r="BI92" s="28" t="e">
        <f t="shared" si="70"/>
        <v>#DIV/0!</v>
      </c>
    </row>
    <row r="93" spans="2:61" ht="75" customHeight="1" x14ac:dyDescent="0.25">
      <c r="B93" s="17"/>
      <c r="C93" s="17"/>
      <c r="D93" s="17"/>
      <c r="E93" s="17"/>
      <c r="F93" s="17"/>
      <c r="G93" s="17"/>
      <c r="H93" s="65"/>
      <c r="I93" s="17"/>
      <c r="J93" s="17"/>
      <c r="K93" s="17"/>
      <c r="L93" s="17"/>
      <c r="M93" s="17" t="e">
        <f t="shared" si="71"/>
        <v>#DIV/0!</v>
      </c>
      <c r="N93" s="17"/>
      <c r="O93" s="17"/>
      <c r="P93" s="17"/>
      <c r="Q93" s="17"/>
      <c r="R93" s="17"/>
      <c r="S93" s="17"/>
      <c r="U93" s="17">
        <f t="shared" si="37"/>
        <v>0</v>
      </c>
      <c r="V93" s="17" t="e">
        <f t="shared" si="38"/>
        <v>#DIV/0!</v>
      </c>
      <c r="W93" s="30" t="e">
        <f t="shared" si="39"/>
        <v>#DIV/0!</v>
      </c>
      <c r="X93" s="17" t="e">
        <f t="shared" si="40"/>
        <v>#N/A</v>
      </c>
      <c r="Y93" s="17" t="e">
        <f t="shared" si="41"/>
        <v>#DIV/0!</v>
      </c>
      <c r="Z93" s="17" t="e">
        <f t="shared" si="42"/>
        <v>#N/A</v>
      </c>
      <c r="AA93" s="43" t="e">
        <f t="shared" si="43"/>
        <v>#DIV/0!</v>
      </c>
      <c r="AG93" s="31">
        <f t="shared" si="44"/>
        <v>0</v>
      </c>
      <c r="AH93" s="31">
        <f t="shared" si="45"/>
        <v>0</v>
      </c>
      <c r="AI93" s="28" t="e">
        <f t="shared" si="46"/>
        <v>#N/A</v>
      </c>
      <c r="AJ93" s="28" t="e">
        <f t="shared" si="47"/>
        <v>#N/A</v>
      </c>
      <c r="AK93" s="28" t="e">
        <f t="shared" si="48"/>
        <v>#N/A</v>
      </c>
      <c r="AL93" s="28" t="e">
        <f t="shared" si="49"/>
        <v>#N/A</v>
      </c>
      <c r="AM93" s="28" t="e">
        <f t="shared" si="50"/>
        <v>#N/A</v>
      </c>
      <c r="AN93" s="28" t="e">
        <f t="shared" si="51"/>
        <v>#N/A</v>
      </c>
      <c r="AO93" s="28" t="e">
        <f t="shared" si="52"/>
        <v>#N/A</v>
      </c>
      <c r="AP93" s="28" t="e">
        <f t="shared" si="53"/>
        <v>#N/A</v>
      </c>
      <c r="AQ93" s="28" t="e">
        <f t="shared" si="54"/>
        <v>#N/A</v>
      </c>
      <c r="AR93" s="28" t="e">
        <f t="shared" si="55"/>
        <v>#N/A</v>
      </c>
      <c r="AS93" s="28" t="e">
        <f t="shared" si="56"/>
        <v>#N/A</v>
      </c>
      <c r="AT93" s="28" t="e">
        <f t="shared" si="57"/>
        <v>#N/A</v>
      </c>
      <c r="AV93" s="31" t="e">
        <f>IF(O93&gt;MAX($V$4:$AE$4),MAX($V$4:$AE$4)-0.1,IF(O93&lt;MIN($V$4:$AE75),MIN($V$4:$AE$4)+0.1,O93))</f>
        <v>#DIV/0!</v>
      </c>
      <c r="AW93" s="31">
        <f t="shared" si="58"/>
        <v>0</v>
      </c>
      <c r="AX93" s="28" t="e">
        <f t="shared" si="59"/>
        <v>#DIV/0!</v>
      </c>
      <c r="AY93" s="28" t="e">
        <f t="shared" si="60"/>
        <v>#DIV/0!</v>
      </c>
      <c r="AZ93" s="28" t="e">
        <f t="shared" si="61"/>
        <v>#DIV/0!</v>
      </c>
      <c r="BA93" s="28" t="e">
        <f t="shared" si="62"/>
        <v>#DIV/0!</v>
      </c>
      <c r="BB93" s="28" t="e">
        <f t="shared" si="63"/>
        <v>#N/A</v>
      </c>
      <c r="BC93" s="28" t="e">
        <f t="shared" si="64"/>
        <v>#N/A</v>
      </c>
      <c r="BD93" s="28" t="e">
        <f t="shared" si="65"/>
        <v>#N/A</v>
      </c>
      <c r="BE93" s="28" t="e">
        <f t="shared" si="66"/>
        <v>#N/A</v>
      </c>
      <c r="BF93" s="28" t="e">
        <f t="shared" si="67"/>
        <v>#DIV/0!</v>
      </c>
      <c r="BG93" s="28" t="e">
        <f t="shared" si="68"/>
        <v>#DIV/0!</v>
      </c>
      <c r="BH93" s="28" t="e">
        <f t="shared" si="69"/>
        <v>#DIV/0!</v>
      </c>
      <c r="BI93" s="28" t="e">
        <f t="shared" si="70"/>
        <v>#DIV/0!</v>
      </c>
    </row>
    <row r="94" spans="2:61" ht="75" customHeight="1" x14ac:dyDescent="0.25">
      <c r="B94" s="17"/>
      <c r="C94" s="17"/>
      <c r="D94" s="17"/>
      <c r="E94" s="17"/>
      <c r="F94" s="17"/>
      <c r="G94" s="17"/>
      <c r="H94" s="65"/>
      <c r="I94" s="17"/>
      <c r="J94" s="17"/>
      <c r="K94" s="17"/>
      <c r="L94" s="17"/>
      <c r="M94" s="17" t="e">
        <f t="shared" si="71"/>
        <v>#DIV/0!</v>
      </c>
      <c r="N94" s="17"/>
      <c r="O94" s="17"/>
      <c r="P94" s="17"/>
      <c r="Q94" s="17"/>
      <c r="R94" s="17"/>
      <c r="S94" s="17"/>
      <c r="U94" s="17">
        <f t="shared" si="37"/>
        <v>0</v>
      </c>
      <c r="V94" s="17" t="e">
        <f t="shared" si="38"/>
        <v>#DIV/0!</v>
      </c>
      <c r="W94" s="30" t="e">
        <f t="shared" si="39"/>
        <v>#DIV/0!</v>
      </c>
      <c r="X94" s="17" t="e">
        <f t="shared" si="40"/>
        <v>#N/A</v>
      </c>
      <c r="Y94" s="17" t="e">
        <f t="shared" si="41"/>
        <v>#DIV/0!</v>
      </c>
      <c r="Z94" s="17" t="e">
        <f t="shared" si="42"/>
        <v>#N/A</v>
      </c>
      <c r="AA94" s="43" t="e">
        <f t="shared" si="43"/>
        <v>#DIV/0!</v>
      </c>
      <c r="AG94" s="31">
        <f t="shared" si="44"/>
        <v>0</v>
      </c>
      <c r="AH94" s="31">
        <f t="shared" si="45"/>
        <v>0</v>
      </c>
      <c r="AI94" s="28" t="e">
        <f t="shared" si="46"/>
        <v>#N/A</v>
      </c>
      <c r="AJ94" s="28" t="e">
        <f t="shared" si="47"/>
        <v>#N/A</v>
      </c>
      <c r="AK94" s="28" t="e">
        <f t="shared" si="48"/>
        <v>#N/A</v>
      </c>
      <c r="AL94" s="28" t="e">
        <f t="shared" si="49"/>
        <v>#N/A</v>
      </c>
      <c r="AM94" s="28" t="e">
        <f t="shared" si="50"/>
        <v>#N/A</v>
      </c>
      <c r="AN94" s="28" t="e">
        <f t="shared" si="51"/>
        <v>#N/A</v>
      </c>
      <c r="AO94" s="28" t="e">
        <f t="shared" si="52"/>
        <v>#N/A</v>
      </c>
      <c r="AP94" s="28" t="e">
        <f t="shared" si="53"/>
        <v>#N/A</v>
      </c>
      <c r="AQ94" s="28" t="e">
        <f t="shared" si="54"/>
        <v>#N/A</v>
      </c>
      <c r="AR94" s="28" t="e">
        <f t="shared" si="55"/>
        <v>#N/A</v>
      </c>
      <c r="AS94" s="28" t="e">
        <f t="shared" si="56"/>
        <v>#N/A</v>
      </c>
      <c r="AT94" s="28" t="e">
        <f t="shared" si="57"/>
        <v>#N/A</v>
      </c>
      <c r="AV94" s="31" t="e">
        <f>IF(O94&gt;MAX($V$4:$AE$4),MAX($V$4:$AE$4)-0.1,IF(O94&lt;MIN($V$4:$AE76),MIN($V$4:$AE$4)+0.1,O94))</f>
        <v>#DIV/0!</v>
      </c>
      <c r="AW94" s="31">
        <f t="shared" si="58"/>
        <v>0</v>
      </c>
      <c r="AX94" s="28" t="e">
        <f t="shared" si="59"/>
        <v>#DIV/0!</v>
      </c>
      <c r="AY94" s="28" t="e">
        <f t="shared" si="60"/>
        <v>#DIV/0!</v>
      </c>
      <c r="AZ94" s="28" t="e">
        <f t="shared" si="61"/>
        <v>#DIV/0!</v>
      </c>
      <c r="BA94" s="28" t="e">
        <f t="shared" si="62"/>
        <v>#DIV/0!</v>
      </c>
      <c r="BB94" s="28" t="e">
        <f t="shared" si="63"/>
        <v>#N/A</v>
      </c>
      <c r="BC94" s="28" t="e">
        <f t="shared" si="64"/>
        <v>#N/A</v>
      </c>
      <c r="BD94" s="28" t="e">
        <f t="shared" si="65"/>
        <v>#N/A</v>
      </c>
      <c r="BE94" s="28" t="e">
        <f t="shared" si="66"/>
        <v>#N/A</v>
      </c>
      <c r="BF94" s="28" t="e">
        <f t="shared" si="67"/>
        <v>#DIV/0!</v>
      </c>
      <c r="BG94" s="28" t="e">
        <f t="shared" si="68"/>
        <v>#DIV/0!</v>
      </c>
      <c r="BH94" s="28" t="e">
        <f t="shared" si="69"/>
        <v>#DIV/0!</v>
      </c>
      <c r="BI94" s="28" t="e">
        <f t="shared" si="70"/>
        <v>#DIV/0!</v>
      </c>
    </row>
    <row r="95" spans="2:61" ht="75" customHeight="1" x14ac:dyDescent="0.25">
      <c r="B95" s="17"/>
      <c r="C95" s="17"/>
      <c r="D95" s="17"/>
      <c r="E95" s="17"/>
      <c r="F95" s="17"/>
      <c r="G95" s="17"/>
      <c r="H95" s="65"/>
      <c r="I95" s="17"/>
      <c r="J95" s="17"/>
      <c r="K95" s="17"/>
      <c r="L95" s="17"/>
      <c r="M95" s="17" t="e">
        <f t="shared" si="71"/>
        <v>#DIV/0!</v>
      </c>
      <c r="N95" s="17"/>
      <c r="O95" s="17"/>
      <c r="P95" s="17"/>
      <c r="Q95" s="17"/>
      <c r="R95" s="17"/>
      <c r="S95" s="17"/>
      <c r="U95" s="17">
        <f t="shared" si="37"/>
        <v>0</v>
      </c>
      <c r="V95" s="17" t="e">
        <f t="shared" si="38"/>
        <v>#DIV/0!</v>
      </c>
      <c r="W95" s="30" t="e">
        <f t="shared" si="39"/>
        <v>#DIV/0!</v>
      </c>
      <c r="X95" s="17" t="e">
        <f t="shared" si="40"/>
        <v>#N/A</v>
      </c>
      <c r="Y95" s="17" t="e">
        <f t="shared" si="41"/>
        <v>#DIV/0!</v>
      </c>
      <c r="Z95" s="17" t="e">
        <f t="shared" si="42"/>
        <v>#N/A</v>
      </c>
      <c r="AA95" s="43" t="e">
        <f t="shared" si="43"/>
        <v>#DIV/0!</v>
      </c>
      <c r="AG95" s="31">
        <f t="shared" si="44"/>
        <v>0</v>
      </c>
      <c r="AH95" s="31">
        <f t="shared" si="45"/>
        <v>0</v>
      </c>
      <c r="AI95" s="28" t="e">
        <f t="shared" si="46"/>
        <v>#N/A</v>
      </c>
      <c r="AJ95" s="28" t="e">
        <f t="shared" si="47"/>
        <v>#N/A</v>
      </c>
      <c r="AK95" s="28" t="e">
        <f t="shared" si="48"/>
        <v>#N/A</v>
      </c>
      <c r="AL95" s="28" t="e">
        <f t="shared" si="49"/>
        <v>#N/A</v>
      </c>
      <c r="AM95" s="28" t="e">
        <f t="shared" si="50"/>
        <v>#N/A</v>
      </c>
      <c r="AN95" s="28" t="e">
        <f t="shared" si="51"/>
        <v>#N/A</v>
      </c>
      <c r="AO95" s="28" t="e">
        <f t="shared" si="52"/>
        <v>#N/A</v>
      </c>
      <c r="AP95" s="28" t="e">
        <f t="shared" si="53"/>
        <v>#N/A</v>
      </c>
      <c r="AQ95" s="28" t="e">
        <f t="shared" si="54"/>
        <v>#N/A</v>
      </c>
      <c r="AR95" s="28" t="e">
        <f t="shared" si="55"/>
        <v>#N/A</v>
      </c>
      <c r="AS95" s="28" t="e">
        <f t="shared" si="56"/>
        <v>#N/A</v>
      </c>
      <c r="AT95" s="28" t="e">
        <f t="shared" si="57"/>
        <v>#N/A</v>
      </c>
      <c r="AV95" s="31" t="e">
        <f>IF(O95&gt;MAX($V$4:$AE$4),MAX($V$4:$AE$4)-0.1,IF(O95&lt;MIN($V$4:$AE77),MIN($V$4:$AE$4)+0.1,O95))</f>
        <v>#DIV/0!</v>
      </c>
      <c r="AW95" s="31">
        <f t="shared" si="58"/>
        <v>0</v>
      </c>
      <c r="AX95" s="28" t="e">
        <f t="shared" si="59"/>
        <v>#DIV/0!</v>
      </c>
      <c r="AY95" s="28" t="e">
        <f t="shared" si="60"/>
        <v>#DIV/0!</v>
      </c>
      <c r="AZ95" s="28" t="e">
        <f t="shared" si="61"/>
        <v>#DIV/0!</v>
      </c>
      <c r="BA95" s="28" t="e">
        <f t="shared" si="62"/>
        <v>#DIV/0!</v>
      </c>
      <c r="BB95" s="28" t="e">
        <f t="shared" si="63"/>
        <v>#N/A</v>
      </c>
      <c r="BC95" s="28" t="e">
        <f t="shared" si="64"/>
        <v>#N/A</v>
      </c>
      <c r="BD95" s="28" t="e">
        <f t="shared" si="65"/>
        <v>#N/A</v>
      </c>
      <c r="BE95" s="28" t="e">
        <f t="shared" si="66"/>
        <v>#N/A</v>
      </c>
      <c r="BF95" s="28" t="e">
        <f t="shared" si="67"/>
        <v>#DIV/0!</v>
      </c>
      <c r="BG95" s="28" t="e">
        <f t="shared" si="68"/>
        <v>#DIV/0!</v>
      </c>
      <c r="BH95" s="28" t="e">
        <f t="shared" si="69"/>
        <v>#DIV/0!</v>
      </c>
      <c r="BI95" s="28" t="e">
        <f t="shared" si="70"/>
        <v>#DIV/0!</v>
      </c>
    </row>
    <row r="96" spans="2:61" ht="75" customHeight="1" x14ac:dyDescent="0.25">
      <c r="B96" s="17"/>
      <c r="C96" s="17"/>
      <c r="D96" s="17"/>
      <c r="E96" s="17"/>
      <c r="F96" s="17"/>
      <c r="G96" s="17"/>
      <c r="H96" s="65"/>
      <c r="I96" s="17"/>
      <c r="J96" s="17"/>
      <c r="K96" s="17"/>
      <c r="L96" s="17"/>
      <c r="M96" s="17" t="e">
        <f t="shared" si="71"/>
        <v>#DIV/0!</v>
      </c>
      <c r="N96" s="17"/>
      <c r="O96" s="17"/>
      <c r="P96" s="17"/>
      <c r="Q96" s="17"/>
      <c r="R96" s="17"/>
      <c r="S96" s="17"/>
      <c r="U96" s="17">
        <f t="shared" si="37"/>
        <v>0</v>
      </c>
      <c r="V96" s="17" t="e">
        <f t="shared" si="38"/>
        <v>#DIV/0!</v>
      </c>
      <c r="W96" s="30" t="e">
        <f t="shared" si="39"/>
        <v>#DIV/0!</v>
      </c>
      <c r="X96" s="17" t="e">
        <f t="shared" si="40"/>
        <v>#N/A</v>
      </c>
      <c r="Y96" s="17" t="e">
        <f t="shared" si="41"/>
        <v>#DIV/0!</v>
      </c>
      <c r="Z96" s="17" t="e">
        <f t="shared" si="42"/>
        <v>#N/A</v>
      </c>
      <c r="AA96" s="43" t="e">
        <f t="shared" si="43"/>
        <v>#DIV/0!</v>
      </c>
      <c r="AG96" s="31">
        <f t="shared" si="44"/>
        <v>0</v>
      </c>
      <c r="AH96" s="31">
        <f t="shared" si="45"/>
        <v>0</v>
      </c>
      <c r="AI96" s="28" t="e">
        <f t="shared" si="46"/>
        <v>#N/A</v>
      </c>
      <c r="AJ96" s="28" t="e">
        <f t="shared" si="47"/>
        <v>#N/A</v>
      </c>
      <c r="AK96" s="28" t="e">
        <f t="shared" si="48"/>
        <v>#N/A</v>
      </c>
      <c r="AL96" s="28" t="e">
        <f t="shared" si="49"/>
        <v>#N/A</v>
      </c>
      <c r="AM96" s="28" t="e">
        <f t="shared" si="50"/>
        <v>#N/A</v>
      </c>
      <c r="AN96" s="28" t="e">
        <f t="shared" si="51"/>
        <v>#N/A</v>
      </c>
      <c r="AO96" s="28" t="e">
        <f t="shared" si="52"/>
        <v>#N/A</v>
      </c>
      <c r="AP96" s="28" t="e">
        <f t="shared" si="53"/>
        <v>#N/A</v>
      </c>
      <c r="AQ96" s="28" t="e">
        <f t="shared" si="54"/>
        <v>#N/A</v>
      </c>
      <c r="AR96" s="28" t="e">
        <f t="shared" si="55"/>
        <v>#N/A</v>
      </c>
      <c r="AS96" s="28" t="e">
        <f t="shared" si="56"/>
        <v>#N/A</v>
      </c>
      <c r="AT96" s="28" t="e">
        <f t="shared" si="57"/>
        <v>#N/A</v>
      </c>
      <c r="AV96" s="31" t="e">
        <f>IF(O96&gt;MAX($V$4:$AE$4),MAX($V$4:$AE$4)-0.1,IF(O96&lt;MIN($V$4:$AE78),MIN($V$4:$AE$4)+0.1,O96))</f>
        <v>#DIV/0!</v>
      </c>
      <c r="AW96" s="31">
        <f t="shared" si="58"/>
        <v>0</v>
      </c>
      <c r="AX96" s="28" t="e">
        <f t="shared" si="59"/>
        <v>#DIV/0!</v>
      </c>
      <c r="AY96" s="28" t="e">
        <f t="shared" si="60"/>
        <v>#DIV/0!</v>
      </c>
      <c r="AZ96" s="28" t="e">
        <f t="shared" si="61"/>
        <v>#DIV/0!</v>
      </c>
      <c r="BA96" s="28" t="e">
        <f t="shared" si="62"/>
        <v>#DIV/0!</v>
      </c>
      <c r="BB96" s="28" t="e">
        <f t="shared" si="63"/>
        <v>#N/A</v>
      </c>
      <c r="BC96" s="28" t="e">
        <f t="shared" si="64"/>
        <v>#N/A</v>
      </c>
      <c r="BD96" s="28" t="e">
        <f t="shared" si="65"/>
        <v>#N/A</v>
      </c>
      <c r="BE96" s="28" t="e">
        <f t="shared" si="66"/>
        <v>#N/A</v>
      </c>
      <c r="BF96" s="28" t="e">
        <f t="shared" si="67"/>
        <v>#DIV/0!</v>
      </c>
      <c r="BG96" s="28" t="e">
        <f t="shared" si="68"/>
        <v>#DIV/0!</v>
      </c>
      <c r="BH96" s="28" t="e">
        <f t="shared" si="69"/>
        <v>#DIV/0!</v>
      </c>
      <c r="BI96" s="28" t="e">
        <f t="shared" si="70"/>
        <v>#DIV/0!</v>
      </c>
    </row>
    <row r="97" spans="2:61" ht="75" customHeight="1" x14ac:dyDescent="0.25">
      <c r="B97" s="17"/>
      <c r="C97" s="17"/>
      <c r="D97" s="17"/>
      <c r="E97" s="17"/>
      <c r="F97" s="17"/>
      <c r="G97" s="17"/>
      <c r="H97" s="65"/>
      <c r="I97" s="17"/>
      <c r="J97" s="17"/>
      <c r="K97" s="17"/>
      <c r="L97" s="17"/>
      <c r="M97" s="17" t="e">
        <f t="shared" si="71"/>
        <v>#DIV/0!</v>
      </c>
      <c r="N97" s="17"/>
      <c r="O97" s="17"/>
      <c r="P97" s="17"/>
      <c r="Q97" s="17"/>
      <c r="R97" s="17"/>
      <c r="S97" s="17"/>
      <c r="U97" s="17">
        <f t="shared" si="37"/>
        <v>0</v>
      </c>
      <c r="V97" s="17" t="e">
        <f t="shared" si="38"/>
        <v>#DIV/0!</v>
      </c>
      <c r="W97" s="30" t="e">
        <f t="shared" si="39"/>
        <v>#DIV/0!</v>
      </c>
      <c r="X97" s="17" t="e">
        <f t="shared" si="40"/>
        <v>#N/A</v>
      </c>
      <c r="Y97" s="17" t="e">
        <f t="shared" si="41"/>
        <v>#DIV/0!</v>
      </c>
      <c r="Z97" s="17" t="e">
        <f t="shared" si="42"/>
        <v>#N/A</v>
      </c>
      <c r="AA97" s="43" t="e">
        <f t="shared" si="43"/>
        <v>#DIV/0!</v>
      </c>
      <c r="AG97" s="31">
        <f t="shared" si="44"/>
        <v>0</v>
      </c>
      <c r="AH97" s="31">
        <f t="shared" si="45"/>
        <v>0</v>
      </c>
      <c r="AI97" s="28" t="e">
        <f t="shared" si="46"/>
        <v>#N/A</v>
      </c>
      <c r="AJ97" s="28" t="e">
        <f t="shared" si="47"/>
        <v>#N/A</v>
      </c>
      <c r="AK97" s="28" t="e">
        <f t="shared" si="48"/>
        <v>#N/A</v>
      </c>
      <c r="AL97" s="28" t="e">
        <f t="shared" si="49"/>
        <v>#N/A</v>
      </c>
      <c r="AM97" s="28" t="e">
        <f t="shared" si="50"/>
        <v>#N/A</v>
      </c>
      <c r="AN97" s="28" t="e">
        <f t="shared" si="51"/>
        <v>#N/A</v>
      </c>
      <c r="AO97" s="28" t="e">
        <f t="shared" si="52"/>
        <v>#N/A</v>
      </c>
      <c r="AP97" s="28" t="e">
        <f t="shared" si="53"/>
        <v>#N/A</v>
      </c>
      <c r="AQ97" s="28" t="e">
        <f t="shared" si="54"/>
        <v>#N/A</v>
      </c>
      <c r="AR97" s="28" t="e">
        <f t="shared" si="55"/>
        <v>#N/A</v>
      </c>
      <c r="AS97" s="28" t="e">
        <f t="shared" si="56"/>
        <v>#N/A</v>
      </c>
      <c r="AT97" s="28" t="e">
        <f t="shared" si="57"/>
        <v>#N/A</v>
      </c>
      <c r="AV97" s="31" t="e">
        <f>IF(O97&gt;MAX($V$4:$AE$4),MAX($V$4:$AE$4)-0.1,IF(O97&lt;MIN($V$4:$AE79),MIN($V$4:$AE$4)+0.1,O97))</f>
        <v>#DIV/0!</v>
      </c>
      <c r="AW97" s="31">
        <f t="shared" si="58"/>
        <v>0</v>
      </c>
      <c r="AX97" s="28" t="e">
        <f t="shared" si="59"/>
        <v>#DIV/0!</v>
      </c>
      <c r="AY97" s="28" t="e">
        <f t="shared" si="60"/>
        <v>#DIV/0!</v>
      </c>
      <c r="AZ97" s="28" t="e">
        <f t="shared" si="61"/>
        <v>#DIV/0!</v>
      </c>
      <c r="BA97" s="28" t="e">
        <f t="shared" si="62"/>
        <v>#DIV/0!</v>
      </c>
      <c r="BB97" s="28" t="e">
        <f t="shared" si="63"/>
        <v>#N/A</v>
      </c>
      <c r="BC97" s="28" t="e">
        <f t="shared" si="64"/>
        <v>#N/A</v>
      </c>
      <c r="BD97" s="28" t="e">
        <f t="shared" si="65"/>
        <v>#N/A</v>
      </c>
      <c r="BE97" s="28" t="e">
        <f t="shared" si="66"/>
        <v>#N/A</v>
      </c>
      <c r="BF97" s="28" t="e">
        <f t="shared" si="67"/>
        <v>#DIV/0!</v>
      </c>
      <c r="BG97" s="28" t="e">
        <f t="shared" si="68"/>
        <v>#DIV/0!</v>
      </c>
      <c r="BH97" s="28" t="e">
        <f t="shared" si="69"/>
        <v>#DIV/0!</v>
      </c>
      <c r="BI97" s="28" t="e">
        <f t="shared" si="70"/>
        <v>#DIV/0!</v>
      </c>
    </row>
    <row r="98" spans="2:61" ht="75" customHeight="1" x14ac:dyDescent="0.25">
      <c r="B98" s="17"/>
      <c r="C98" s="17"/>
      <c r="D98" s="17"/>
      <c r="E98" s="17"/>
      <c r="F98" s="17"/>
      <c r="G98" s="17"/>
      <c r="H98" s="65"/>
      <c r="I98" s="17"/>
      <c r="J98" s="17"/>
      <c r="K98" s="17"/>
      <c r="L98" s="17"/>
      <c r="M98" s="17" t="e">
        <f t="shared" si="71"/>
        <v>#DIV/0!</v>
      </c>
      <c r="N98" s="17"/>
      <c r="O98" s="17"/>
      <c r="P98" s="17"/>
      <c r="Q98" s="17"/>
      <c r="R98" s="17"/>
      <c r="S98" s="17"/>
      <c r="U98" s="17">
        <f t="shared" si="37"/>
        <v>0</v>
      </c>
      <c r="V98" s="17" t="e">
        <f t="shared" si="38"/>
        <v>#DIV/0!</v>
      </c>
      <c r="W98" s="30" t="e">
        <f t="shared" si="39"/>
        <v>#DIV/0!</v>
      </c>
      <c r="X98" s="17" t="e">
        <f t="shared" si="40"/>
        <v>#N/A</v>
      </c>
      <c r="Y98" s="17" t="e">
        <f t="shared" si="41"/>
        <v>#DIV/0!</v>
      </c>
      <c r="Z98" s="17" t="e">
        <f t="shared" si="42"/>
        <v>#N/A</v>
      </c>
      <c r="AA98" s="43" t="e">
        <f t="shared" si="43"/>
        <v>#DIV/0!</v>
      </c>
      <c r="AG98" s="31">
        <f t="shared" si="44"/>
        <v>0</v>
      </c>
      <c r="AH98" s="31">
        <f t="shared" si="45"/>
        <v>0</v>
      </c>
      <c r="AI98" s="28" t="e">
        <f t="shared" si="46"/>
        <v>#N/A</v>
      </c>
      <c r="AJ98" s="28" t="e">
        <f t="shared" si="47"/>
        <v>#N/A</v>
      </c>
      <c r="AK98" s="28" t="e">
        <f t="shared" si="48"/>
        <v>#N/A</v>
      </c>
      <c r="AL98" s="28" t="e">
        <f t="shared" si="49"/>
        <v>#N/A</v>
      </c>
      <c r="AM98" s="28" t="e">
        <f t="shared" si="50"/>
        <v>#N/A</v>
      </c>
      <c r="AN98" s="28" t="e">
        <f t="shared" si="51"/>
        <v>#N/A</v>
      </c>
      <c r="AO98" s="28" t="e">
        <f t="shared" si="52"/>
        <v>#N/A</v>
      </c>
      <c r="AP98" s="28" t="e">
        <f t="shared" si="53"/>
        <v>#N/A</v>
      </c>
      <c r="AQ98" s="28" t="e">
        <f t="shared" si="54"/>
        <v>#N/A</v>
      </c>
      <c r="AR98" s="28" t="e">
        <f t="shared" si="55"/>
        <v>#N/A</v>
      </c>
      <c r="AS98" s="28" t="e">
        <f t="shared" si="56"/>
        <v>#N/A</v>
      </c>
      <c r="AT98" s="28" t="e">
        <f t="shared" si="57"/>
        <v>#N/A</v>
      </c>
      <c r="AV98" s="31" t="e">
        <f>IF(O98&gt;MAX($V$4:$AE$4),MAX($V$4:$AE$4)-0.1,IF(O98&lt;MIN($V$4:$AE80),MIN($V$4:$AE$4)+0.1,O98))</f>
        <v>#DIV/0!</v>
      </c>
      <c r="AW98" s="31">
        <f t="shared" si="58"/>
        <v>0</v>
      </c>
      <c r="AX98" s="28" t="e">
        <f t="shared" si="59"/>
        <v>#DIV/0!</v>
      </c>
      <c r="AY98" s="28" t="e">
        <f t="shared" si="60"/>
        <v>#DIV/0!</v>
      </c>
      <c r="AZ98" s="28" t="e">
        <f t="shared" si="61"/>
        <v>#DIV/0!</v>
      </c>
      <c r="BA98" s="28" t="e">
        <f t="shared" si="62"/>
        <v>#DIV/0!</v>
      </c>
      <c r="BB98" s="28" t="e">
        <f t="shared" si="63"/>
        <v>#N/A</v>
      </c>
      <c r="BC98" s="28" t="e">
        <f t="shared" si="64"/>
        <v>#N/A</v>
      </c>
      <c r="BD98" s="28" t="e">
        <f t="shared" si="65"/>
        <v>#N/A</v>
      </c>
      <c r="BE98" s="28" t="e">
        <f t="shared" si="66"/>
        <v>#N/A</v>
      </c>
      <c r="BF98" s="28" t="e">
        <f t="shared" si="67"/>
        <v>#DIV/0!</v>
      </c>
      <c r="BG98" s="28" t="e">
        <f t="shared" si="68"/>
        <v>#DIV/0!</v>
      </c>
      <c r="BH98" s="28" t="e">
        <f t="shared" si="69"/>
        <v>#DIV/0!</v>
      </c>
      <c r="BI98" s="28" t="e">
        <f t="shared" si="70"/>
        <v>#DIV/0!</v>
      </c>
    </row>
    <row r="99" spans="2:61" ht="75" customHeight="1" x14ac:dyDescent="0.25">
      <c r="B99" s="17"/>
      <c r="C99" s="17"/>
      <c r="D99" s="17"/>
      <c r="E99" s="17"/>
      <c r="F99" s="17"/>
      <c r="G99" s="17"/>
      <c r="H99" s="65"/>
      <c r="I99" s="17"/>
      <c r="J99" s="17"/>
      <c r="K99" s="17"/>
      <c r="L99" s="17"/>
      <c r="M99" s="17" t="e">
        <f t="shared" si="71"/>
        <v>#DIV/0!</v>
      </c>
      <c r="N99" s="17"/>
      <c r="O99" s="17"/>
      <c r="P99" s="17"/>
      <c r="Q99" s="17"/>
      <c r="R99" s="17"/>
      <c r="S99" s="17"/>
      <c r="U99" s="17">
        <f t="shared" si="37"/>
        <v>0</v>
      </c>
      <c r="V99" s="17" t="e">
        <f t="shared" si="38"/>
        <v>#DIV/0!</v>
      </c>
      <c r="W99" s="30" t="e">
        <f t="shared" si="39"/>
        <v>#DIV/0!</v>
      </c>
      <c r="X99" s="17" t="e">
        <f t="shared" si="40"/>
        <v>#N/A</v>
      </c>
      <c r="Y99" s="17" t="e">
        <f t="shared" si="41"/>
        <v>#DIV/0!</v>
      </c>
      <c r="Z99" s="17" t="e">
        <f t="shared" si="42"/>
        <v>#N/A</v>
      </c>
      <c r="AA99" s="43" t="e">
        <f t="shared" si="43"/>
        <v>#DIV/0!</v>
      </c>
      <c r="AG99" s="31">
        <f t="shared" si="44"/>
        <v>0</v>
      </c>
      <c r="AH99" s="31">
        <f t="shared" si="45"/>
        <v>0</v>
      </c>
      <c r="AI99" s="28" t="e">
        <f t="shared" si="46"/>
        <v>#N/A</v>
      </c>
      <c r="AJ99" s="28" t="e">
        <f t="shared" si="47"/>
        <v>#N/A</v>
      </c>
      <c r="AK99" s="28" t="e">
        <f t="shared" si="48"/>
        <v>#N/A</v>
      </c>
      <c r="AL99" s="28" t="e">
        <f t="shared" si="49"/>
        <v>#N/A</v>
      </c>
      <c r="AM99" s="28" t="e">
        <f t="shared" si="50"/>
        <v>#N/A</v>
      </c>
      <c r="AN99" s="28" t="e">
        <f t="shared" si="51"/>
        <v>#N/A</v>
      </c>
      <c r="AO99" s="28" t="e">
        <f t="shared" si="52"/>
        <v>#N/A</v>
      </c>
      <c r="AP99" s="28" t="e">
        <f t="shared" si="53"/>
        <v>#N/A</v>
      </c>
      <c r="AQ99" s="28" t="e">
        <f t="shared" si="54"/>
        <v>#N/A</v>
      </c>
      <c r="AR99" s="28" t="e">
        <f t="shared" si="55"/>
        <v>#N/A</v>
      </c>
      <c r="AS99" s="28" t="e">
        <f t="shared" si="56"/>
        <v>#N/A</v>
      </c>
      <c r="AT99" s="28" t="e">
        <f t="shared" si="57"/>
        <v>#N/A</v>
      </c>
      <c r="AV99" s="31" t="e">
        <f>IF(O99&gt;MAX($V$4:$AE$4),MAX($V$4:$AE$4)-0.1,IF(O99&lt;MIN($V$4:$AE81),MIN($V$4:$AE$4)+0.1,O99))</f>
        <v>#DIV/0!</v>
      </c>
      <c r="AW99" s="31">
        <f t="shared" si="58"/>
        <v>0</v>
      </c>
      <c r="AX99" s="28" t="e">
        <f t="shared" si="59"/>
        <v>#DIV/0!</v>
      </c>
      <c r="AY99" s="28" t="e">
        <f t="shared" si="60"/>
        <v>#DIV/0!</v>
      </c>
      <c r="AZ99" s="28" t="e">
        <f t="shared" si="61"/>
        <v>#DIV/0!</v>
      </c>
      <c r="BA99" s="28" t="e">
        <f t="shared" si="62"/>
        <v>#DIV/0!</v>
      </c>
      <c r="BB99" s="28" t="e">
        <f t="shared" si="63"/>
        <v>#N/A</v>
      </c>
      <c r="BC99" s="28" t="e">
        <f t="shared" si="64"/>
        <v>#N/A</v>
      </c>
      <c r="BD99" s="28" t="e">
        <f t="shared" si="65"/>
        <v>#N/A</v>
      </c>
      <c r="BE99" s="28" t="e">
        <f t="shared" si="66"/>
        <v>#N/A</v>
      </c>
      <c r="BF99" s="28" t="e">
        <f t="shared" si="67"/>
        <v>#DIV/0!</v>
      </c>
      <c r="BG99" s="28" t="e">
        <f t="shared" si="68"/>
        <v>#DIV/0!</v>
      </c>
      <c r="BH99" s="28" t="e">
        <f t="shared" si="69"/>
        <v>#DIV/0!</v>
      </c>
      <c r="BI99" s="28" t="e">
        <f t="shared" si="70"/>
        <v>#DIV/0!</v>
      </c>
    </row>
    <row r="100" spans="2:61" ht="75" customHeight="1" x14ac:dyDescent="0.25">
      <c r="B100" s="17"/>
      <c r="C100" s="17"/>
      <c r="D100" s="17"/>
      <c r="E100" s="17"/>
      <c r="F100" s="17"/>
      <c r="G100" s="17"/>
      <c r="H100" s="65"/>
      <c r="I100" s="17"/>
      <c r="J100" s="17"/>
      <c r="K100" s="17"/>
      <c r="L100" s="17"/>
      <c r="M100" s="17" t="e">
        <f t="shared" si="71"/>
        <v>#DIV/0!</v>
      </c>
      <c r="N100" s="17"/>
      <c r="O100" s="17"/>
      <c r="P100" s="17"/>
      <c r="Q100" s="17"/>
      <c r="R100" s="17"/>
      <c r="S100" s="17"/>
      <c r="U100" s="17">
        <f t="shared" si="37"/>
        <v>0</v>
      </c>
      <c r="V100" s="17" t="e">
        <f t="shared" si="38"/>
        <v>#DIV/0!</v>
      </c>
      <c r="W100" s="30" t="e">
        <f t="shared" si="39"/>
        <v>#DIV/0!</v>
      </c>
      <c r="X100" s="17" t="e">
        <f t="shared" si="40"/>
        <v>#N/A</v>
      </c>
      <c r="Y100" s="17" t="e">
        <f t="shared" si="41"/>
        <v>#DIV/0!</v>
      </c>
      <c r="Z100" s="17" t="e">
        <f t="shared" si="42"/>
        <v>#N/A</v>
      </c>
      <c r="AA100" s="43" t="e">
        <f t="shared" si="43"/>
        <v>#DIV/0!</v>
      </c>
      <c r="AG100" s="31">
        <f t="shared" si="44"/>
        <v>0</v>
      </c>
      <c r="AH100" s="31">
        <f t="shared" si="45"/>
        <v>0</v>
      </c>
      <c r="AI100" s="28" t="e">
        <f t="shared" si="46"/>
        <v>#N/A</v>
      </c>
      <c r="AJ100" s="28" t="e">
        <f t="shared" si="47"/>
        <v>#N/A</v>
      </c>
      <c r="AK100" s="28" t="e">
        <f t="shared" si="48"/>
        <v>#N/A</v>
      </c>
      <c r="AL100" s="28" t="e">
        <f t="shared" si="49"/>
        <v>#N/A</v>
      </c>
      <c r="AM100" s="28" t="e">
        <f t="shared" si="50"/>
        <v>#N/A</v>
      </c>
      <c r="AN100" s="28" t="e">
        <f t="shared" si="51"/>
        <v>#N/A</v>
      </c>
      <c r="AO100" s="28" t="e">
        <f t="shared" si="52"/>
        <v>#N/A</v>
      </c>
      <c r="AP100" s="28" t="e">
        <f t="shared" si="53"/>
        <v>#N/A</v>
      </c>
      <c r="AQ100" s="28" t="e">
        <f t="shared" si="54"/>
        <v>#N/A</v>
      </c>
      <c r="AR100" s="28" t="e">
        <f t="shared" si="55"/>
        <v>#N/A</v>
      </c>
      <c r="AS100" s="28" t="e">
        <f t="shared" si="56"/>
        <v>#N/A</v>
      </c>
      <c r="AT100" s="28" t="e">
        <f t="shared" si="57"/>
        <v>#N/A</v>
      </c>
      <c r="AV100" s="31" t="e">
        <f>IF(O100&gt;MAX($V$4:$AE$4),MAX($V$4:$AE$4)-0.1,IF(O100&lt;MIN($V$4:$AE82),MIN($V$4:$AE$4)+0.1,O100))</f>
        <v>#DIV/0!</v>
      </c>
      <c r="AW100" s="31">
        <f t="shared" si="58"/>
        <v>0</v>
      </c>
      <c r="AX100" s="28" t="e">
        <f t="shared" si="59"/>
        <v>#DIV/0!</v>
      </c>
      <c r="AY100" s="28" t="e">
        <f t="shared" si="60"/>
        <v>#DIV/0!</v>
      </c>
      <c r="AZ100" s="28" t="e">
        <f t="shared" si="61"/>
        <v>#DIV/0!</v>
      </c>
      <c r="BA100" s="28" t="e">
        <f t="shared" si="62"/>
        <v>#DIV/0!</v>
      </c>
      <c r="BB100" s="28" t="e">
        <f t="shared" si="63"/>
        <v>#N/A</v>
      </c>
      <c r="BC100" s="28" t="e">
        <f t="shared" si="64"/>
        <v>#N/A</v>
      </c>
      <c r="BD100" s="28" t="e">
        <f t="shared" si="65"/>
        <v>#N/A</v>
      </c>
      <c r="BE100" s="28" t="e">
        <f t="shared" si="66"/>
        <v>#N/A</v>
      </c>
      <c r="BF100" s="28" t="e">
        <f t="shared" si="67"/>
        <v>#DIV/0!</v>
      </c>
      <c r="BG100" s="28" t="e">
        <f t="shared" si="68"/>
        <v>#DIV/0!</v>
      </c>
      <c r="BH100" s="28" t="e">
        <f t="shared" si="69"/>
        <v>#DIV/0!</v>
      </c>
      <c r="BI100" s="28" t="e">
        <f t="shared" si="70"/>
        <v>#DIV/0!</v>
      </c>
    </row>
    <row r="101" spans="2:61" ht="75" customHeight="1" x14ac:dyDescent="0.25">
      <c r="B101" s="17"/>
      <c r="C101" s="17"/>
      <c r="D101" s="17"/>
      <c r="E101" s="17"/>
      <c r="F101" s="17"/>
      <c r="G101" s="17"/>
      <c r="H101" s="65"/>
      <c r="I101" s="17"/>
      <c r="J101" s="17"/>
      <c r="K101" s="17"/>
      <c r="L101" s="17"/>
      <c r="M101" s="17" t="e">
        <f t="shared" si="71"/>
        <v>#DIV/0!</v>
      </c>
      <c r="N101" s="17"/>
      <c r="O101" s="17"/>
      <c r="P101" s="17"/>
      <c r="Q101" s="17"/>
      <c r="R101" s="17"/>
      <c r="S101" s="17"/>
      <c r="U101" s="17">
        <f t="shared" si="37"/>
        <v>0</v>
      </c>
      <c r="V101" s="17" t="e">
        <f t="shared" si="38"/>
        <v>#DIV/0!</v>
      </c>
      <c r="W101" s="30" t="e">
        <f t="shared" si="39"/>
        <v>#DIV/0!</v>
      </c>
      <c r="X101" s="17" t="e">
        <f t="shared" si="40"/>
        <v>#N/A</v>
      </c>
      <c r="Y101" s="17" t="e">
        <f t="shared" si="41"/>
        <v>#DIV/0!</v>
      </c>
      <c r="Z101" s="17" t="e">
        <f t="shared" si="42"/>
        <v>#N/A</v>
      </c>
      <c r="AA101" s="43" t="e">
        <f t="shared" si="43"/>
        <v>#DIV/0!</v>
      </c>
      <c r="AG101" s="31">
        <f t="shared" si="44"/>
        <v>0</v>
      </c>
      <c r="AH101" s="31">
        <f t="shared" si="45"/>
        <v>0</v>
      </c>
      <c r="AI101" s="28" t="e">
        <f t="shared" si="46"/>
        <v>#N/A</v>
      </c>
      <c r="AJ101" s="28" t="e">
        <f t="shared" si="47"/>
        <v>#N/A</v>
      </c>
      <c r="AK101" s="28" t="e">
        <f t="shared" si="48"/>
        <v>#N/A</v>
      </c>
      <c r="AL101" s="28" t="e">
        <f t="shared" si="49"/>
        <v>#N/A</v>
      </c>
      <c r="AM101" s="28" t="e">
        <f t="shared" si="50"/>
        <v>#N/A</v>
      </c>
      <c r="AN101" s="28" t="e">
        <f t="shared" si="51"/>
        <v>#N/A</v>
      </c>
      <c r="AO101" s="28" t="e">
        <f t="shared" si="52"/>
        <v>#N/A</v>
      </c>
      <c r="AP101" s="28" t="e">
        <f t="shared" si="53"/>
        <v>#N/A</v>
      </c>
      <c r="AQ101" s="28" t="e">
        <f t="shared" si="54"/>
        <v>#N/A</v>
      </c>
      <c r="AR101" s="28" t="e">
        <f t="shared" si="55"/>
        <v>#N/A</v>
      </c>
      <c r="AS101" s="28" t="e">
        <f t="shared" si="56"/>
        <v>#N/A</v>
      </c>
      <c r="AT101" s="28" t="e">
        <f t="shared" si="57"/>
        <v>#N/A</v>
      </c>
      <c r="AV101" s="31" t="e">
        <f>IF(O101&gt;MAX($V$4:$AE$4),MAX($V$4:$AE$4)-0.1,IF(O101&lt;MIN($V$4:$AE83),MIN($V$4:$AE$4)+0.1,O101))</f>
        <v>#DIV/0!</v>
      </c>
      <c r="AW101" s="31">
        <f t="shared" si="58"/>
        <v>0</v>
      </c>
      <c r="AX101" s="28" t="e">
        <f t="shared" si="59"/>
        <v>#DIV/0!</v>
      </c>
      <c r="AY101" s="28" t="e">
        <f t="shared" si="60"/>
        <v>#DIV/0!</v>
      </c>
      <c r="AZ101" s="28" t="e">
        <f t="shared" si="61"/>
        <v>#DIV/0!</v>
      </c>
      <c r="BA101" s="28" t="e">
        <f t="shared" si="62"/>
        <v>#DIV/0!</v>
      </c>
      <c r="BB101" s="28" t="e">
        <f t="shared" si="63"/>
        <v>#N/A</v>
      </c>
      <c r="BC101" s="28" t="e">
        <f t="shared" si="64"/>
        <v>#N/A</v>
      </c>
      <c r="BD101" s="28" t="e">
        <f t="shared" si="65"/>
        <v>#N/A</v>
      </c>
      <c r="BE101" s="28" t="e">
        <f t="shared" si="66"/>
        <v>#N/A</v>
      </c>
      <c r="BF101" s="28" t="e">
        <f t="shared" si="67"/>
        <v>#DIV/0!</v>
      </c>
      <c r="BG101" s="28" t="e">
        <f t="shared" si="68"/>
        <v>#DIV/0!</v>
      </c>
      <c r="BH101" s="28" t="e">
        <f t="shared" si="69"/>
        <v>#DIV/0!</v>
      </c>
      <c r="BI101" s="28" t="e">
        <f t="shared" si="70"/>
        <v>#DIV/0!</v>
      </c>
    </row>
    <row r="102" spans="2:61" ht="75" customHeight="1" x14ac:dyDescent="0.25">
      <c r="B102" s="17"/>
      <c r="C102" s="17"/>
      <c r="D102" s="17"/>
      <c r="E102" s="17"/>
      <c r="F102" s="17"/>
      <c r="G102" s="17"/>
      <c r="H102" s="65"/>
      <c r="I102" s="17"/>
      <c r="J102" s="17"/>
      <c r="K102" s="17"/>
      <c r="L102" s="17"/>
      <c r="M102" s="17" t="e">
        <f t="shared" si="71"/>
        <v>#DIV/0!</v>
      </c>
      <c r="N102" s="17"/>
      <c r="O102" s="17"/>
      <c r="P102" s="17"/>
      <c r="Q102" s="17"/>
      <c r="R102" s="17"/>
      <c r="S102" s="17"/>
      <c r="U102" s="17">
        <f t="shared" si="37"/>
        <v>0</v>
      </c>
      <c r="V102" s="17" t="e">
        <f t="shared" si="38"/>
        <v>#DIV/0!</v>
      </c>
      <c r="W102" s="30" t="e">
        <f t="shared" si="39"/>
        <v>#DIV/0!</v>
      </c>
      <c r="X102" s="17" t="e">
        <f t="shared" si="40"/>
        <v>#N/A</v>
      </c>
      <c r="Y102" s="17" t="e">
        <f t="shared" si="41"/>
        <v>#DIV/0!</v>
      </c>
      <c r="Z102" s="17" t="e">
        <f t="shared" si="42"/>
        <v>#N/A</v>
      </c>
      <c r="AA102" s="43" t="e">
        <f t="shared" si="43"/>
        <v>#DIV/0!</v>
      </c>
      <c r="AG102" s="31">
        <f t="shared" si="44"/>
        <v>0</v>
      </c>
      <c r="AH102" s="31">
        <f t="shared" si="45"/>
        <v>0</v>
      </c>
      <c r="AI102" s="28" t="e">
        <f t="shared" si="46"/>
        <v>#N/A</v>
      </c>
      <c r="AJ102" s="28" t="e">
        <f t="shared" si="47"/>
        <v>#N/A</v>
      </c>
      <c r="AK102" s="28" t="e">
        <f t="shared" si="48"/>
        <v>#N/A</v>
      </c>
      <c r="AL102" s="28" t="e">
        <f t="shared" si="49"/>
        <v>#N/A</v>
      </c>
      <c r="AM102" s="28" t="e">
        <f t="shared" si="50"/>
        <v>#N/A</v>
      </c>
      <c r="AN102" s="28" t="e">
        <f t="shared" si="51"/>
        <v>#N/A</v>
      </c>
      <c r="AO102" s="28" t="e">
        <f t="shared" si="52"/>
        <v>#N/A</v>
      </c>
      <c r="AP102" s="28" t="e">
        <f t="shared" si="53"/>
        <v>#N/A</v>
      </c>
      <c r="AQ102" s="28" t="e">
        <f t="shared" si="54"/>
        <v>#N/A</v>
      </c>
      <c r="AR102" s="28" t="e">
        <f t="shared" si="55"/>
        <v>#N/A</v>
      </c>
      <c r="AS102" s="28" t="e">
        <f t="shared" si="56"/>
        <v>#N/A</v>
      </c>
      <c r="AT102" s="28" t="e">
        <f t="shared" si="57"/>
        <v>#N/A</v>
      </c>
      <c r="AV102" s="31" t="e">
        <f>IF(O102&gt;MAX($V$4:$AE$4),MAX($V$4:$AE$4)-0.1,IF(O102&lt;MIN($V$4:$AE84),MIN($V$4:$AE$4)+0.1,O102))</f>
        <v>#DIV/0!</v>
      </c>
      <c r="AW102" s="31">
        <f t="shared" si="58"/>
        <v>0</v>
      </c>
      <c r="AX102" s="28" t="e">
        <f t="shared" si="59"/>
        <v>#DIV/0!</v>
      </c>
      <c r="AY102" s="28" t="e">
        <f t="shared" si="60"/>
        <v>#DIV/0!</v>
      </c>
      <c r="AZ102" s="28" t="e">
        <f t="shared" si="61"/>
        <v>#DIV/0!</v>
      </c>
      <c r="BA102" s="28" t="e">
        <f t="shared" si="62"/>
        <v>#DIV/0!</v>
      </c>
      <c r="BB102" s="28" t="e">
        <f t="shared" si="63"/>
        <v>#N/A</v>
      </c>
      <c r="BC102" s="28" t="e">
        <f t="shared" si="64"/>
        <v>#N/A</v>
      </c>
      <c r="BD102" s="28" t="e">
        <f t="shared" si="65"/>
        <v>#N/A</v>
      </c>
      <c r="BE102" s="28" t="e">
        <f t="shared" si="66"/>
        <v>#N/A</v>
      </c>
      <c r="BF102" s="28" t="e">
        <f t="shared" si="67"/>
        <v>#DIV/0!</v>
      </c>
      <c r="BG102" s="28" t="e">
        <f t="shared" si="68"/>
        <v>#DIV/0!</v>
      </c>
      <c r="BH102" s="28" t="e">
        <f t="shared" si="69"/>
        <v>#DIV/0!</v>
      </c>
      <c r="BI102" s="28" t="e">
        <f t="shared" si="70"/>
        <v>#DIV/0!</v>
      </c>
    </row>
    <row r="103" spans="2:61" ht="75" customHeight="1" x14ac:dyDescent="0.25">
      <c r="B103" s="17"/>
      <c r="C103" s="17"/>
      <c r="D103" s="17"/>
      <c r="E103" s="17"/>
      <c r="F103" s="17"/>
      <c r="G103" s="17"/>
      <c r="H103" s="65"/>
      <c r="I103" s="17"/>
      <c r="J103" s="17"/>
      <c r="K103" s="17"/>
      <c r="L103" s="17"/>
      <c r="M103" s="17" t="e">
        <f t="shared" si="71"/>
        <v>#DIV/0!</v>
      </c>
      <c r="N103" s="17"/>
      <c r="O103" s="17"/>
      <c r="P103" s="17"/>
      <c r="Q103" s="17"/>
      <c r="R103" s="17"/>
      <c r="S103" s="17"/>
      <c r="U103" s="17">
        <f t="shared" si="37"/>
        <v>0</v>
      </c>
      <c r="V103" s="17" t="e">
        <f t="shared" si="38"/>
        <v>#DIV/0!</v>
      </c>
      <c r="W103" s="30" t="e">
        <f t="shared" si="39"/>
        <v>#DIV/0!</v>
      </c>
      <c r="X103" s="17" t="e">
        <f t="shared" si="40"/>
        <v>#N/A</v>
      </c>
      <c r="Y103" s="17" t="e">
        <f t="shared" si="41"/>
        <v>#DIV/0!</v>
      </c>
      <c r="Z103" s="17" t="e">
        <f t="shared" si="42"/>
        <v>#N/A</v>
      </c>
      <c r="AA103" s="43" t="e">
        <f t="shared" si="43"/>
        <v>#DIV/0!</v>
      </c>
      <c r="AG103" s="31">
        <f t="shared" si="44"/>
        <v>0</v>
      </c>
      <c r="AH103" s="31">
        <f t="shared" si="45"/>
        <v>0</v>
      </c>
      <c r="AI103" s="28" t="e">
        <f t="shared" si="46"/>
        <v>#N/A</v>
      </c>
      <c r="AJ103" s="28" t="e">
        <f t="shared" si="47"/>
        <v>#N/A</v>
      </c>
      <c r="AK103" s="28" t="e">
        <f t="shared" si="48"/>
        <v>#N/A</v>
      </c>
      <c r="AL103" s="28" t="e">
        <f t="shared" si="49"/>
        <v>#N/A</v>
      </c>
      <c r="AM103" s="28" t="e">
        <f t="shared" si="50"/>
        <v>#N/A</v>
      </c>
      <c r="AN103" s="28" t="e">
        <f t="shared" si="51"/>
        <v>#N/A</v>
      </c>
      <c r="AO103" s="28" t="e">
        <f t="shared" si="52"/>
        <v>#N/A</v>
      </c>
      <c r="AP103" s="28" t="e">
        <f t="shared" si="53"/>
        <v>#N/A</v>
      </c>
      <c r="AQ103" s="28" t="e">
        <f t="shared" si="54"/>
        <v>#N/A</v>
      </c>
      <c r="AR103" s="28" t="e">
        <f t="shared" si="55"/>
        <v>#N/A</v>
      </c>
      <c r="AS103" s="28" t="e">
        <f t="shared" si="56"/>
        <v>#N/A</v>
      </c>
      <c r="AT103" s="28" t="e">
        <f t="shared" si="57"/>
        <v>#N/A</v>
      </c>
      <c r="AV103" s="31" t="e">
        <f>IF(O103&gt;MAX($V$4:$AE$4),MAX($V$4:$AE$4)-0.1,IF(O103&lt;MIN($V$4:$AE85),MIN($V$4:$AE$4)+0.1,O103))</f>
        <v>#DIV/0!</v>
      </c>
      <c r="AW103" s="31">
        <f t="shared" si="58"/>
        <v>0</v>
      </c>
      <c r="AX103" s="28" t="e">
        <f t="shared" si="59"/>
        <v>#DIV/0!</v>
      </c>
      <c r="AY103" s="28" t="e">
        <f t="shared" si="60"/>
        <v>#DIV/0!</v>
      </c>
      <c r="AZ103" s="28" t="e">
        <f t="shared" si="61"/>
        <v>#DIV/0!</v>
      </c>
      <c r="BA103" s="28" t="e">
        <f t="shared" si="62"/>
        <v>#DIV/0!</v>
      </c>
      <c r="BB103" s="28" t="e">
        <f t="shared" si="63"/>
        <v>#N/A</v>
      </c>
      <c r="BC103" s="28" t="e">
        <f t="shared" si="64"/>
        <v>#N/A</v>
      </c>
      <c r="BD103" s="28" t="e">
        <f t="shared" si="65"/>
        <v>#N/A</v>
      </c>
      <c r="BE103" s="28" t="e">
        <f t="shared" si="66"/>
        <v>#N/A</v>
      </c>
      <c r="BF103" s="28" t="e">
        <f t="shared" si="67"/>
        <v>#DIV/0!</v>
      </c>
      <c r="BG103" s="28" t="e">
        <f t="shared" si="68"/>
        <v>#DIV/0!</v>
      </c>
      <c r="BH103" s="28" t="e">
        <f t="shared" si="69"/>
        <v>#DIV/0!</v>
      </c>
      <c r="BI103" s="28" t="e">
        <f t="shared" si="70"/>
        <v>#DIV/0!</v>
      </c>
    </row>
    <row r="104" spans="2:61" ht="75" customHeight="1" x14ac:dyDescent="0.25">
      <c r="B104" s="17"/>
      <c r="C104" s="17"/>
      <c r="D104" s="17"/>
      <c r="E104" s="17"/>
      <c r="F104" s="17"/>
      <c r="G104" s="17"/>
      <c r="H104" s="65"/>
      <c r="I104" s="17"/>
      <c r="J104" s="17"/>
      <c r="K104" s="17"/>
      <c r="L104" s="17"/>
      <c r="M104" s="17" t="e">
        <f t="shared" si="71"/>
        <v>#DIV/0!</v>
      </c>
      <c r="N104" s="17"/>
      <c r="O104" s="17"/>
      <c r="P104" s="17"/>
      <c r="Q104" s="17"/>
      <c r="R104" s="17"/>
      <c r="S104" s="17"/>
      <c r="U104" s="17">
        <f t="shared" si="37"/>
        <v>0</v>
      </c>
      <c r="V104" s="17" t="e">
        <f t="shared" si="38"/>
        <v>#DIV/0!</v>
      </c>
      <c r="W104" s="30" t="e">
        <f t="shared" si="39"/>
        <v>#DIV/0!</v>
      </c>
      <c r="X104" s="17" t="e">
        <f t="shared" si="40"/>
        <v>#N/A</v>
      </c>
      <c r="Y104" s="17" t="e">
        <f t="shared" si="41"/>
        <v>#DIV/0!</v>
      </c>
      <c r="Z104" s="17" t="e">
        <f t="shared" si="42"/>
        <v>#N/A</v>
      </c>
      <c r="AA104" s="43" t="e">
        <f t="shared" si="43"/>
        <v>#DIV/0!</v>
      </c>
      <c r="AG104" s="31">
        <f t="shared" si="44"/>
        <v>0</v>
      </c>
      <c r="AH104" s="31">
        <f t="shared" si="45"/>
        <v>0</v>
      </c>
      <c r="AI104" s="28" t="e">
        <f t="shared" si="46"/>
        <v>#N/A</v>
      </c>
      <c r="AJ104" s="28" t="e">
        <f t="shared" si="47"/>
        <v>#N/A</v>
      </c>
      <c r="AK104" s="28" t="e">
        <f t="shared" si="48"/>
        <v>#N/A</v>
      </c>
      <c r="AL104" s="28" t="e">
        <f t="shared" si="49"/>
        <v>#N/A</v>
      </c>
      <c r="AM104" s="28" t="e">
        <f t="shared" si="50"/>
        <v>#N/A</v>
      </c>
      <c r="AN104" s="28" t="e">
        <f t="shared" si="51"/>
        <v>#N/A</v>
      </c>
      <c r="AO104" s="28" t="e">
        <f t="shared" si="52"/>
        <v>#N/A</v>
      </c>
      <c r="AP104" s="28" t="e">
        <f t="shared" si="53"/>
        <v>#N/A</v>
      </c>
      <c r="AQ104" s="28" t="e">
        <f t="shared" si="54"/>
        <v>#N/A</v>
      </c>
      <c r="AR104" s="28" t="e">
        <f t="shared" si="55"/>
        <v>#N/A</v>
      </c>
      <c r="AS104" s="28" t="e">
        <f t="shared" si="56"/>
        <v>#N/A</v>
      </c>
      <c r="AT104" s="28" t="e">
        <f t="shared" si="57"/>
        <v>#N/A</v>
      </c>
      <c r="AV104" s="31" t="e">
        <f>IF(O104&gt;MAX($V$4:$AE$4),MAX($V$4:$AE$4)-0.1,IF(O104&lt;MIN($V$4:$AE86),MIN($V$4:$AE$4)+0.1,O104))</f>
        <v>#DIV/0!</v>
      </c>
      <c r="AW104" s="31">
        <f t="shared" si="58"/>
        <v>0</v>
      </c>
      <c r="AX104" s="28" t="e">
        <f t="shared" si="59"/>
        <v>#DIV/0!</v>
      </c>
      <c r="AY104" s="28" t="e">
        <f t="shared" si="60"/>
        <v>#DIV/0!</v>
      </c>
      <c r="AZ104" s="28" t="e">
        <f t="shared" si="61"/>
        <v>#DIV/0!</v>
      </c>
      <c r="BA104" s="28" t="e">
        <f t="shared" si="62"/>
        <v>#DIV/0!</v>
      </c>
      <c r="BB104" s="28" t="e">
        <f t="shared" si="63"/>
        <v>#N/A</v>
      </c>
      <c r="BC104" s="28" t="e">
        <f t="shared" si="64"/>
        <v>#N/A</v>
      </c>
      <c r="BD104" s="28" t="e">
        <f t="shared" si="65"/>
        <v>#N/A</v>
      </c>
      <c r="BE104" s="28" t="e">
        <f t="shared" si="66"/>
        <v>#N/A</v>
      </c>
      <c r="BF104" s="28" t="e">
        <f t="shared" si="67"/>
        <v>#DIV/0!</v>
      </c>
      <c r="BG104" s="28" t="e">
        <f t="shared" si="68"/>
        <v>#DIV/0!</v>
      </c>
      <c r="BH104" s="28" t="e">
        <f t="shared" si="69"/>
        <v>#DIV/0!</v>
      </c>
      <c r="BI104" s="28" t="e">
        <f t="shared" si="70"/>
        <v>#DIV/0!</v>
      </c>
    </row>
    <row r="105" spans="2:61" ht="75" customHeight="1" x14ac:dyDescent="0.25">
      <c r="B105" s="17"/>
      <c r="C105" s="17"/>
      <c r="D105" s="17"/>
      <c r="E105" s="17"/>
      <c r="F105" s="17"/>
      <c r="G105" s="17"/>
      <c r="H105" s="65"/>
      <c r="I105" s="17"/>
      <c r="J105" s="17"/>
      <c r="K105" s="17"/>
      <c r="L105" s="17"/>
      <c r="M105" s="17" t="e">
        <f t="shared" si="71"/>
        <v>#DIV/0!</v>
      </c>
      <c r="N105" s="17"/>
      <c r="O105" s="17"/>
      <c r="P105" s="17"/>
      <c r="Q105" s="17"/>
      <c r="R105" s="17"/>
      <c r="S105" s="17"/>
      <c r="U105" s="17">
        <f t="shared" si="37"/>
        <v>0</v>
      </c>
      <c r="V105" s="17" t="e">
        <f t="shared" si="38"/>
        <v>#DIV/0!</v>
      </c>
      <c r="W105" s="30" t="e">
        <f t="shared" si="39"/>
        <v>#DIV/0!</v>
      </c>
      <c r="X105" s="17" t="e">
        <f t="shared" si="40"/>
        <v>#N/A</v>
      </c>
      <c r="Y105" s="17" t="e">
        <f t="shared" si="41"/>
        <v>#DIV/0!</v>
      </c>
      <c r="Z105" s="17" t="e">
        <f t="shared" si="42"/>
        <v>#N/A</v>
      </c>
      <c r="AA105" s="43" t="e">
        <f t="shared" si="43"/>
        <v>#DIV/0!</v>
      </c>
      <c r="AG105" s="31">
        <f t="shared" si="44"/>
        <v>0</v>
      </c>
      <c r="AH105" s="31">
        <f t="shared" si="45"/>
        <v>0</v>
      </c>
      <c r="AI105" s="28" t="e">
        <f t="shared" si="46"/>
        <v>#N/A</v>
      </c>
      <c r="AJ105" s="28" t="e">
        <f t="shared" si="47"/>
        <v>#N/A</v>
      </c>
      <c r="AK105" s="28" t="e">
        <f t="shared" si="48"/>
        <v>#N/A</v>
      </c>
      <c r="AL105" s="28" t="e">
        <f t="shared" si="49"/>
        <v>#N/A</v>
      </c>
      <c r="AM105" s="28" t="e">
        <f t="shared" si="50"/>
        <v>#N/A</v>
      </c>
      <c r="AN105" s="28" t="e">
        <f t="shared" si="51"/>
        <v>#N/A</v>
      </c>
      <c r="AO105" s="28" t="e">
        <f t="shared" si="52"/>
        <v>#N/A</v>
      </c>
      <c r="AP105" s="28" t="e">
        <f t="shared" si="53"/>
        <v>#N/A</v>
      </c>
      <c r="AQ105" s="28" t="e">
        <f t="shared" si="54"/>
        <v>#N/A</v>
      </c>
      <c r="AR105" s="28" t="e">
        <f t="shared" si="55"/>
        <v>#N/A</v>
      </c>
      <c r="AS105" s="28" t="e">
        <f t="shared" si="56"/>
        <v>#N/A</v>
      </c>
      <c r="AT105" s="28" t="e">
        <f t="shared" si="57"/>
        <v>#N/A</v>
      </c>
      <c r="AV105" s="31" t="e">
        <f>IF(O105&gt;MAX($V$4:$AE$4),MAX($V$4:$AE$4)-0.1,IF(O105&lt;MIN($V$4:$AE87),MIN($V$4:$AE$4)+0.1,O105))</f>
        <v>#DIV/0!</v>
      </c>
      <c r="AW105" s="31">
        <f t="shared" si="58"/>
        <v>0</v>
      </c>
      <c r="AX105" s="28" t="e">
        <f t="shared" si="59"/>
        <v>#DIV/0!</v>
      </c>
      <c r="AY105" s="28" t="e">
        <f t="shared" si="60"/>
        <v>#DIV/0!</v>
      </c>
      <c r="AZ105" s="28" t="e">
        <f t="shared" si="61"/>
        <v>#DIV/0!</v>
      </c>
      <c r="BA105" s="28" t="e">
        <f t="shared" si="62"/>
        <v>#DIV/0!</v>
      </c>
      <c r="BB105" s="28" t="e">
        <f t="shared" si="63"/>
        <v>#N/A</v>
      </c>
      <c r="BC105" s="28" t="e">
        <f t="shared" si="64"/>
        <v>#N/A</v>
      </c>
      <c r="BD105" s="28" t="e">
        <f t="shared" si="65"/>
        <v>#N/A</v>
      </c>
      <c r="BE105" s="28" t="e">
        <f t="shared" si="66"/>
        <v>#N/A</v>
      </c>
      <c r="BF105" s="28" t="e">
        <f t="shared" si="67"/>
        <v>#DIV/0!</v>
      </c>
      <c r="BG105" s="28" t="e">
        <f t="shared" si="68"/>
        <v>#DIV/0!</v>
      </c>
      <c r="BH105" s="28" t="e">
        <f t="shared" si="69"/>
        <v>#DIV/0!</v>
      </c>
      <c r="BI105" s="28" t="e">
        <f t="shared" si="70"/>
        <v>#DIV/0!</v>
      </c>
    </row>
    <row r="106" spans="2:61" ht="75" customHeight="1" x14ac:dyDescent="0.25">
      <c r="B106" s="17"/>
      <c r="C106" s="17"/>
      <c r="D106" s="17"/>
      <c r="E106" s="17"/>
      <c r="F106" s="17"/>
      <c r="G106" s="17"/>
      <c r="H106" s="65"/>
      <c r="I106" s="17"/>
      <c r="J106" s="17"/>
      <c r="K106" s="17"/>
      <c r="L106" s="17"/>
      <c r="M106" s="17" t="e">
        <f t="shared" si="71"/>
        <v>#DIV/0!</v>
      </c>
      <c r="N106" s="17"/>
      <c r="O106" s="17"/>
      <c r="P106" s="17"/>
      <c r="Q106" s="17"/>
      <c r="R106" s="17"/>
      <c r="S106" s="17"/>
      <c r="U106" s="17">
        <f t="shared" si="37"/>
        <v>0</v>
      </c>
      <c r="V106" s="17" t="e">
        <f t="shared" si="38"/>
        <v>#DIV/0!</v>
      </c>
      <c r="W106" s="30" t="e">
        <f t="shared" si="39"/>
        <v>#DIV/0!</v>
      </c>
      <c r="X106" s="17" t="e">
        <f t="shared" si="40"/>
        <v>#N/A</v>
      </c>
      <c r="Y106" s="17" t="e">
        <f t="shared" si="41"/>
        <v>#DIV/0!</v>
      </c>
      <c r="Z106" s="17" t="e">
        <f t="shared" si="42"/>
        <v>#N/A</v>
      </c>
      <c r="AA106" s="43" t="e">
        <f t="shared" si="43"/>
        <v>#DIV/0!</v>
      </c>
      <c r="AG106" s="31">
        <f t="shared" si="44"/>
        <v>0</v>
      </c>
      <c r="AH106" s="31">
        <f t="shared" si="45"/>
        <v>0</v>
      </c>
      <c r="AI106" s="28" t="e">
        <f t="shared" si="46"/>
        <v>#N/A</v>
      </c>
      <c r="AJ106" s="28" t="e">
        <f t="shared" si="47"/>
        <v>#N/A</v>
      </c>
      <c r="AK106" s="28" t="e">
        <f t="shared" si="48"/>
        <v>#N/A</v>
      </c>
      <c r="AL106" s="28" t="e">
        <f t="shared" si="49"/>
        <v>#N/A</v>
      </c>
      <c r="AM106" s="28" t="e">
        <f t="shared" si="50"/>
        <v>#N/A</v>
      </c>
      <c r="AN106" s="28" t="e">
        <f t="shared" si="51"/>
        <v>#N/A</v>
      </c>
      <c r="AO106" s="28" t="e">
        <f t="shared" si="52"/>
        <v>#N/A</v>
      </c>
      <c r="AP106" s="28" t="e">
        <f t="shared" si="53"/>
        <v>#N/A</v>
      </c>
      <c r="AQ106" s="28" t="e">
        <f t="shared" si="54"/>
        <v>#N/A</v>
      </c>
      <c r="AR106" s="28" t="e">
        <f t="shared" si="55"/>
        <v>#N/A</v>
      </c>
      <c r="AS106" s="28" t="e">
        <f t="shared" si="56"/>
        <v>#N/A</v>
      </c>
      <c r="AT106" s="28" t="e">
        <f t="shared" si="57"/>
        <v>#N/A</v>
      </c>
      <c r="AV106" s="31" t="e">
        <f>IF(O106&gt;MAX($V$4:$AE$4),MAX($V$4:$AE$4)-0.1,IF(O106&lt;MIN($V$4:$AE88),MIN($V$4:$AE$4)+0.1,O106))</f>
        <v>#DIV/0!</v>
      </c>
      <c r="AW106" s="31">
        <f t="shared" si="58"/>
        <v>0</v>
      </c>
      <c r="AX106" s="28" t="e">
        <f t="shared" si="59"/>
        <v>#DIV/0!</v>
      </c>
      <c r="AY106" s="28" t="e">
        <f t="shared" si="60"/>
        <v>#DIV/0!</v>
      </c>
      <c r="AZ106" s="28" t="e">
        <f t="shared" si="61"/>
        <v>#DIV/0!</v>
      </c>
      <c r="BA106" s="28" t="e">
        <f t="shared" si="62"/>
        <v>#DIV/0!</v>
      </c>
      <c r="BB106" s="28" t="e">
        <f t="shared" si="63"/>
        <v>#N/A</v>
      </c>
      <c r="BC106" s="28" t="e">
        <f t="shared" si="64"/>
        <v>#N/A</v>
      </c>
      <c r="BD106" s="28" t="e">
        <f t="shared" si="65"/>
        <v>#N/A</v>
      </c>
      <c r="BE106" s="28" t="e">
        <f t="shared" si="66"/>
        <v>#N/A</v>
      </c>
      <c r="BF106" s="28" t="e">
        <f t="shared" si="67"/>
        <v>#DIV/0!</v>
      </c>
      <c r="BG106" s="28" t="e">
        <f t="shared" si="68"/>
        <v>#DIV/0!</v>
      </c>
      <c r="BH106" s="28" t="e">
        <f t="shared" si="69"/>
        <v>#DIV/0!</v>
      </c>
      <c r="BI106" s="28" t="e">
        <f t="shared" si="70"/>
        <v>#DIV/0!</v>
      </c>
    </row>
    <row r="107" spans="2:61" ht="75" customHeight="1" x14ac:dyDescent="0.25">
      <c r="B107" s="17"/>
      <c r="C107" s="17"/>
      <c r="D107" s="17"/>
      <c r="E107" s="17"/>
      <c r="F107" s="17"/>
      <c r="G107" s="17"/>
      <c r="H107" s="65"/>
      <c r="I107" s="17"/>
      <c r="J107" s="17"/>
      <c r="K107" s="17"/>
      <c r="L107" s="17"/>
      <c r="M107" s="17" t="e">
        <f t="shared" si="71"/>
        <v>#DIV/0!</v>
      </c>
      <c r="N107" s="17"/>
      <c r="O107" s="17"/>
      <c r="P107" s="17"/>
      <c r="Q107" s="17"/>
      <c r="R107" s="17"/>
      <c r="S107" s="17"/>
      <c r="U107" s="17">
        <f t="shared" si="37"/>
        <v>0</v>
      </c>
      <c r="V107" s="17" t="e">
        <f t="shared" si="38"/>
        <v>#DIV/0!</v>
      </c>
      <c r="W107" s="30" t="e">
        <f t="shared" si="39"/>
        <v>#DIV/0!</v>
      </c>
      <c r="X107" s="17" t="e">
        <f t="shared" si="40"/>
        <v>#N/A</v>
      </c>
      <c r="Y107" s="17" t="e">
        <f t="shared" si="41"/>
        <v>#DIV/0!</v>
      </c>
      <c r="Z107" s="17" t="e">
        <f t="shared" si="42"/>
        <v>#N/A</v>
      </c>
      <c r="AA107" s="43" t="e">
        <f t="shared" si="43"/>
        <v>#DIV/0!</v>
      </c>
      <c r="AG107" s="31">
        <f t="shared" si="44"/>
        <v>0</v>
      </c>
      <c r="AH107" s="31">
        <f t="shared" si="45"/>
        <v>0</v>
      </c>
      <c r="AI107" s="28" t="e">
        <f t="shared" si="46"/>
        <v>#N/A</v>
      </c>
      <c r="AJ107" s="28" t="e">
        <f t="shared" si="47"/>
        <v>#N/A</v>
      </c>
      <c r="AK107" s="28" t="e">
        <f t="shared" si="48"/>
        <v>#N/A</v>
      </c>
      <c r="AL107" s="28" t="e">
        <f t="shared" si="49"/>
        <v>#N/A</v>
      </c>
      <c r="AM107" s="28" t="e">
        <f t="shared" si="50"/>
        <v>#N/A</v>
      </c>
      <c r="AN107" s="28" t="e">
        <f t="shared" si="51"/>
        <v>#N/A</v>
      </c>
      <c r="AO107" s="28" t="e">
        <f t="shared" si="52"/>
        <v>#N/A</v>
      </c>
      <c r="AP107" s="28" t="e">
        <f t="shared" si="53"/>
        <v>#N/A</v>
      </c>
      <c r="AQ107" s="28" t="e">
        <f t="shared" si="54"/>
        <v>#N/A</v>
      </c>
      <c r="AR107" s="28" t="e">
        <f t="shared" si="55"/>
        <v>#N/A</v>
      </c>
      <c r="AS107" s="28" t="e">
        <f t="shared" si="56"/>
        <v>#N/A</v>
      </c>
      <c r="AT107" s="28" t="e">
        <f t="shared" si="57"/>
        <v>#N/A</v>
      </c>
      <c r="AV107" s="31" t="e">
        <f>IF(O107&gt;MAX($V$4:$AE$4),MAX($V$4:$AE$4)-0.1,IF(O107&lt;MIN($V$4:$AE89),MIN($V$4:$AE$4)+0.1,O107))</f>
        <v>#DIV/0!</v>
      </c>
      <c r="AW107" s="31">
        <f t="shared" si="58"/>
        <v>0</v>
      </c>
      <c r="AX107" s="28" t="e">
        <f t="shared" si="59"/>
        <v>#DIV/0!</v>
      </c>
      <c r="AY107" s="28" t="e">
        <f t="shared" si="60"/>
        <v>#DIV/0!</v>
      </c>
      <c r="AZ107" s="28" t="e">
        <f t="shared" si="61"/>
        <v>#DIV/0!</v>
      </c>
      <c r="BA107" s="28" t="e">
        <f t="shared" si="62"/>
        <v>#DIV/0!</v>
      </c>
      <c r="BB107" s="28" t="e">
        <f t="shared" si="63"/>
        <v>#N/A</v>
      </c>
      <c r="BC107" s="28" t="e">
        <f t="shared" si="64"/>
        <v>#N/A</v>
      </c>
      <c r="BD107" s="28" t="e">
        <f t="shared" si="65"/>
        <v>#N/A</v>
      </c>
      <c r="BE107" s="28" t="e">
        <f t="shared" si="66"/>
        <v>#N/A</v>
      </c>
      <c r="BF107" s="28" t="e">
        <f t="shared" si="67"/>
        <v>#DIV/0!</v>
      </c>
      <c r="BG107" s="28" t="e">
        <f t="shared" si="68"/>
        <v>#DIV/0!</v>
      </c>
      <c r="BH107" s="28" t="e">
        <f t="shared" si="69"/>
        <v>#DIV/0!</v>
      </c>
      <c r="BI107" s="28" t="e">
        <f t="shared" si="70"/>
        <v>#DIV/0!</v>
      </c>
    </row>
    <row r="108" spans="2:61" ht="75" customHeight="1" x14ac:dyDescent="0.25">
      <c r="B108" s="17"/>
      <c r="C108" s="17"/>
      <c r="D108" s="17"/>
      <c r="E108" s="17"/>
      <c r="F108" s="17"/>
      <c r="G108" s="17"/>
      <c r="H108" s="65"/>
      <c r="I108" s="17"/>
      <c r="J108" s="17"/>
      <c r="K108" s="17"/>
      <c r="L108" s="17"/>
      <c r="M108" s="17" t="e">
        <f t="shared" si="71"/>
        <v>#DIV/0!</v>
      </c>
      <c r="N108" s="17"/>
      <c r="O108" s="17"/>
      <c r="P108" s="17"/>
      <c r="Q108" s="17"/>
      <c r="R108" s="17"/>
      <c r="S108" s="17"/>
      <c r="U108" s="17">
        <f t="shared" si="37"/>
        <v>0</v>
      </c>
      <c r="V108" s="17" t="e">
        <f t="shared" si="38"/>
        <v>#DIV/0!</v>
      </c>
      <c r="W108" s="30" t="e">
        <f t="shared" si="39"/>
        <v>#DIV/0!</v>
      </c>
      <c r="X108" s="17" t="e">
        <f t="shared" si="40"/>
        <v>#N/A</v>
      </c>
      <c r="Y108" s="17" t="e">
        <f t="shared" si="41"/>
        <v>#DIV/0!</v>
      </c>
      <c r="Z108" s="17" t="e">
        <f t="shared" si="42"/>
        <v>#N/A</v>
      </c>
      <c r="AA108" s="43" t="e">
        <f t="shared" si="43"/>
        <v>#DIV/0!</v>
      </c>
      <c r="AG108" s="31">
        <f t="shared" si="44"/>
        <v>0</v>
      </c>
      <c r="AH108" s="31">
        <f t="shared" si="45"/>
        <v>0</v>
      </c>
      <c r="AI108" s="28" t="e">
        <f t="shared" si="46"/>
        <v>#N/A</v>
      </c>
      <c r="AJ108" s="28" t="e">
        <f t="shared" si="47"/>
        <v>#N/A</v>
      </c>
      <c r="AK108" s="28" t="e">
        <f t="shared" si="48"/>
        <v>#N/A</v>
      </c>
      <c r="AL108" s="28" t="e">
        <f t="shared" si="49"/>
        <v>#N/A</v>
      </c>
      <c r="AM108" s="28" t="e">
        <f t="shared" si="50"/>
        <v>#N/A</v>
      </c>
      <c r="AN108" s="28" t="e">
        <f t="shared" si="51"/>
        <v>#N/A</v>
      </c>
      <c r="AO108" s="28" t="e">
        <f t="shared" si="52"/>
        <v>#N/A</v>
      </c>
      <c r="AP108" s="28" t="e">
        <f t="shared" si="53"/>
        <v>#N/A</v>
      </c>
      <c r="AQ108" s="28" t="e">
        <f t="shared" si="54"/>
        <v>#N/A</v>
      </c>
      <c r="AR108" s="28" t="e">
        <f t="shared" si="55"/>
        <v>#N/A</v>
      </c>
      <c r="AS108" s="28" t="e">
        <f t="shared" si="56"/>
        <v>#N/A</v>
      </c>
      <c r="AT108" s="28" t="e">
        <f t="shared" si="57"/>
        <v>#N/A</v>
      </c>
      <c r="AV108" s="31" t="e">
        <f>IF(O108&gt;MAX($V$4:$AE$4),MAX($V$4:$AE$4)-0.1,IF(O108&lt;MIN($V$4:$AE90),MIN($V$4:$AE$4)+0.1,O108))</f>
        <v>#DIV/0!</v>
      </c>
      <c r="AW108" s="31">
        <f t="shared" si="58"/>
        <v>0</v>
      </c>
      <c r="AX108" s="28" t="e">
        <f t="shared" si="59"/>
        <v>#DIV/0!</v>
      </c>
      <c r="AY108" s="28" t="e">
        <f t="shared" si="60"/>
        <v>#DIV/0!</v>
      </c>
      <c r="AZ108" s="28" t="e">
        <f t="shared" si="61"/>
        <v>#DIV/0!</v>
      </c>
      <c r="BA108" s="28" t="e">
        <f t="shared" si="62"/>
        <v>#DIV/0!</v>
      </c>
      <c r="BB108" s="28" t="e">
        <f t="shared" si="63"/>
        <v>#N/A</v>
      </c>
      <c r="BC108" s="28" t="e">
        <f t="shared" si="64"/>
        <v>#N/A</v>
      </c>
      <c r="BD108" s="28" t="e">
        <f t="shared" si="65"/>
        <v>#N/A</v>
      </c>
      <c r="BE108" s="28" t="e">
        <f t="shared" si="66"/>
        <v>#N/A</v>
      </c>
      <c r="BF108" s="28" t="e">
        <f t="shared" si="67"/>
        <v>#DIV/0!</v>
      </c>
      <c r="BG108" s="28" t="e">
        <f t="shared" si="68"/>
        <v>#DIV/0!</v>
      </c>
      <c r="BH108" s="28" t="e">
        <f t="shared" si="69"/>
        <v>#DIV/0!</v>
      </c>
      <c r="BI108" s="28" t="e">
        <f t="shared" si="70"/>
        <v>#DIV/0!</v>
      </c>
    </row>
    <row r="109" spans="2:61" ht="75" customHeight="1" x14ac:dyDescent="0.25">
      <c r="B109" s="17"/>
      <c r="C109" s="17"/>
      <c r="D109" s="17"/>
      <c r="E109" s="17"/>
      <c r="F109" s="17"/>
      <c r="G109" s="17"/>
      <c r="H109" s="65"/>
      <c r="I109" s="17"/>
      <c r="J109" s="17"/>
      <c r="K109" s="17"/>
      <c r="L109" s="17"/>
      <c r="M109" s="17" t="e">
        <f t="shared" si="71"/>
        <v>#DIV/0!</v>
      </c>
      <c r="N109" s="17"/>
      <c r="O109" s="17"/>
      <c r="P109" s="17"/>
      <c r="Q109" s="17"/>
      <c r="R109" s="17"/>
      <c r="S109" s="17"/>
      <c r="U109" s="17">
        <f t="shared" si="37"/>
        <v>0</v>
      </c>
      <c r="V109" s="17" t="e">
        <f t="shared" si="38"/>
        <v>#DIV/0!</v>
      </c>
      <c r="W109" s="30" t="e">
        <f t="shared" si="39"/>
        <v>#DIV/0!</v>
      </c>
      <c r="X109" s="17" t="e">
        <f t="shared" si="40"/>
        <v>#N/A</v>
      </c>
      <c r="Y109" s="17" t="e">
        <f t="shared" si="41"/>
        <v>#DIV/0!</v>
      </c>
      <c r="Z109" s="17" t="e">
        <f t="shared" si="42"/>
        <v>#N/A</v>
      </c>
      <c r="AA109" s="43" t="e">
        <f t="shared" si="43"/>
        <v>#DIV/0!</v>
      </c>
      <c r="AG109" s="31">
        <f t="shared" si="44"/>
        <v>0</v>
      </c>
      <c r="AH109" s="31">
        <f t="shared" si="45"/>
        <v>0</v>
      </c>
      <c r="AI109" s="28" t="e">
        <f t="shared" si="46"/>
        <v>#N/A</v>
      </c>
      <c r="AJ109" s="28" t="e">
        <f t="shared" si="47"/>
        <v>#N/A</v>
      </c>
      <c r="AK109" s="28" t="e">
        <f t="shared" si="48"/>
        <v>#N/A</v>
      </c>
      <c r="AL109" s="28" t="e">
        <f t="shared" si="49"/>
        <v>#N/A</v>
      </c>
      <c r="AM109" s="28" t="e">
        <f t="shared" si="50"/>
        <v>#N/A</v>
      </c>
      <c r="AN109" s="28" t="e">
        <f t="shared" si="51"/>
        <v>#N/A</v>
      </c>
      <c r="AO109" s="28" t="e">
        <f t="shared" si="52"/>
        <v>#N/A</v>
      </c>
      <c r="AP109" s="28" t="e">
        <f t="shared" si="53"/>
        <v>#N/A</v>
      </c>
      <c r="AQ109" s="28" t="e">
        <f t="shared" si="54"/>
        <v>#N/A</v>
      </c>
      <c r="AR109" s="28" t="e">
        <f t="shared" si="55"/>
        <v>#N/A</v>
      </c>
      <c r="AS109" s="28" t="e">
        <f t="shared" si="56"/>
        <v>#N/A</v>
      </c>
      <c r="AT109" s="28" t="e">
        <f t="shared" si="57"/>
        <v>#N/A</v>
      </c>
      <c r="AV109" s="31" t="e">
        <f>IF(O109&gt;MAX($V$4:$AE$4),MAX($V$4:$AE$4)-0.1,IF(O109&lt;MIN($V$4:$AE91),MIN($V$4:$AE$4)+0.1,O109))</f>
        <v>#DIV/0!</v>
      </c>
      <c r="AW109" s="31">
        <f t="shared" si="58"/>
        <v>0</v>
      </c>
      <c r="AX109" s="28" t="e">
        <f t="shared" si="59"/>
        <v>#DIV/0!</v>
      </c>
      <c r="AY109" s="28" t="e">
        <f t="shared" si="60"/>
        <v>#DIV/0!</v>
      </c>
      <c r="AZ109" s="28" t="e">
        <f t="shared" si="61"/>
        <v>#DIV/0!</v>
      </c>
      <c r="BA109" s="28" t="e">
        <f t="shared" si="62"/>
        <v>#DIV/0!</v>
      </c>
      <c r="BB109" s="28" t="e">
        <f t="shared" si="63"/>
        <v>#N/A</v>
      </c>
      <c r="BC109" s="28" t="e">
        <f t="shared" si="64"/>
        <v>#N/A</v>
      </c>
      <c r="BD109" s="28" t="e">
        <f t="shared" si="65"/>
        <v>#N/A</v>
      </c>
      <c r="BE109" s="28" t="e">
        <f t="shared" si="66"/>
        <v>#N/A</v>
      </c>
      <c r="BF109" s="28" t="e">
        <f t="shared" si="67"/>
        <v>#DIV/0!</v>
      </c>
      <c r="BG109" s="28" t="e">
        <f t="shared" si="68"/>
        <v>#DIV/0!</v>
      </c>
      <c r="BH109" s="28" t="e">
        <f t="shared" si="69"/>
        <v>#DIV/0!</v>
      </c>
      <c r="BI109" s="28" t="e">
        <f t="shared" si="70"/>
        <v>#DIV/0!</v>
      </c>
    </row>
    <row r="110" spans="2:61" ht="75" customHeight="1" x14ac:dyDescent="0.25">
      <c r="B110" s="17"/>
      <c r="C110" s="17"/>
      <c r="D110" s="17"/>
      <c r="E110" s="17"/>
      <c r="F110" s="17"/>
      <c r="G110" s="17"/>
      <c r="H110" s="65"/>
      <c r="I110" s="17"/>
      <c r="J110" s="17"/>
      <c r="K110" s="17"/>
      <c r="L110" s="17"/>
      <c r="M110" s="17" t="e">
        <f t="shared" si="71"/>
        <v>#DIV/0!</v>
      </c>
      <c r="N110" s="17"/>
      <c r="O110" s="17"/>
      <c r="P110" s="17"/>
      <c r="Q110" s="17"/>
      <c r="R110" s="17"/>
      <c r="S110" s="17"/>
      <c r="U110" s="17">
        <f t="shared" si="37"/>
        <v>0</v>
      </c>
      <c r="V110" s="17" t="e">
        <f t="shared" si="38"/>
        <v>#DIV/0!</v>
      </c>
      <c r="W110" s="30" t="e">
        <f t="shared" si="39"/>
        <v>#DIV/0!</v>
      </c>
      <c r="X110" s="17" t="e">
        <f t="shared" si="40"/>
        <v>#N/A</v>
      </c>
      <c r="Y110" s="17" t="e">
        <f t="shared" si="41"/>
        <v>#DIV/0!</v>
      </c>
      <c r="Z110" s="17" t="e">
        <f t="shared" si="42"/>
        <v>#N/A</v>
      </c>
      <c r="AA110" s="43" t="e">
        <f t="shared" si="43"/>
        <v>#DIV/0!</v>
      </c>
      <c r="AG110" s="31">
        <f t="shared" si="44"/>
        <v>0</v>
      </c>
      <c r="AH110" s="31">
        <f t="shared" si="45"/>
        <v>0</v>
      </c>
      <c r="AI110" s="28" t="e">
        <f t="shared" si="46"/>
        <v>#N/A</v>
      </c>
      <c r="AJ110" s="28" t="e">
        <f t="shared" si="47"/>
        <v>#N/A</v>
      </c>
      <c r="AK110" s="28" t="e">
        <f t="shared" si="48"/>
        <v>#N/A</v>
      </c>
      <c r="AL110" s="28" t="e">
        <f t="shared" si="49"/>
        <v>#N/A</v>
      </c>
      <c r="AM110" s="28" t="e">
        <f t="shared" si="50"/>
        <v>#N/A</v>
      </c>
      <c r="AN110" s="28" t="e">
        <f t="shared" si="51"/>
        <v>#N/A</v>
      </c>
      <c r="AO110" s="28" t="e">
        <f t="shared" si="52"/>
        <v>#N/A</v>
      </c>
      <c r="AP110" s="28" t="e">
        <f t="shared" si="53"/>
        <v>#N/A</v>
      </c>
      <c r="AQ110" s="28" t="e">
        <f t="shared" si="54"/>
        <v>#N/A</v>
      </c>
      <c r="AR110" s="28" t="e">
        <f t="shared" si="55"/>
        <v>#N/A</v>
      </c>
      <c r="AS110" s="28" t="e">
        <f t="shared" si="56"/>
        <v>#N/A</v>
      </c>
      <c r="AT110" s="28" t="e">
        <f t="shared" si="57"/>
        <v>#N/A</v>
      </c>
      <c r="AV110" s="31" t="e">
        <f>IF(O110&gt;MAX($V$4:$AE$4),MAX($V$4:$AE$4)-0.1,IF(O110&lt;MIN($V$4:$AE92),MIN($V$4:$AE$4)+0.1,O110))</f>
        <v>#DIV/0!</v>
      </c>
      <c r="AW110" s="31">
        <f t="shared" si="58"/>
        <v>0</v>
      </c>
      <c r="AX110" s="28" t="e">
        <f t="shared" si="59"/>
        <v>#DIV/0!</v>
      </c>
      <c r="AY110" s="28" t="e">
        <f t="shared" si="60"/>
        <v>#DIV/0!</v>
      </c>
      <c r="AZ110" s="28" t="e">
        <f t="shared" si="61"/>
        <v>#DIV/0!</v>
      </c>
      <c r="BA110" s="28" t="e">
        <f t="shared" si="62"/>
        <v>#DIV/0!</v>
      </c>
      <c r="BB110" s="28" t="e">
        <f t="shared" si="63"/>
        <v>#N/A</v>
      </c>
      <c r="BC110" s="28" t="e">
        <f t="shared" si="64"/>
        <v>#N/A</v>
      </c>
      <c r="BD110" s="28" t="e">
        <f t="shared" si="65"/>
        <v>#N/A</v>
      </c>
      <c r="BE110" s="28" t="e">
        <f t="shared" si="66"/>
        <v>#N/A</v>
      </c>
      <c r="BF110" s="28" t="e">
        <f t="shared" si="67"/>
        <v>#DIV/0!</v>
      </c>
      <c r="BG110" s="28" t="e">
        <f t="shared" si="68"/>
        <v>#DIV/0!</v>
      </c>
      <c r="BH110" s="28" t="e">
        <f t="shared" si="69"/>
        <v>#DIV/0!</v>
      </c>
      <c r="BI110" s="28" t="e">
        <f t="shared" si="70"/>
        <v>#DIV/0!</v>
      </c>
    </row>
    <row r="111" spans="2:61" ht="75" customHeight="1" x14ac:dyDescent="0.25">
      <c r="B111" s="17"/>
      <c r="C111" s="17"/>
      <c r="D111" s="17"/>
      <c r="E111" s="17"/>
      <c r="F111" s="17"/>
      <c r="G111" s="17"/>
      <c r="H111" s="65"/>
      <c r="I111" s="17"/>
      <c r="J111" s="17"/>
      <c r="K111" s="17"/>
      <c r="L111" s="17"/>
      <c r="M111" s="17" t="e">
        <f t="shared" si="71"/>
        <v>#DIV/0!</v>
      </c>
      <c r="N111" s="17"/>
      <c r="O111" s="17"/>
      <c r="P111" s="17"/>
      <c r="Q111" s="17"/>
      <c r="R111" s="17"/>
      <c r="S111" s="17"/>
      <c r="U111" s="17">
        <f t="shared" si="37"/>
        <v>0</v>
      </c>
      <c r="V111" s="17" t="e">
        <f t="shared" si="38"/>
        <v>#DIV/0!</v>
      </c>
      <c r="W111" s="30" t="e">
        <f t="shared" si="39"/>
        <v>#DIV/0!</v>
      </c>
      <c r="X111" s="17" t="e">
        <f t="shared" si="40"/>
        <v>#N/A</v>
      </c>
      <c r="Y111" s="17" t="e">
        <f t="shared" si="41"/>
        <v>#DIV/0!</v>
      </c>
      <c r="Z111" s="17" t="e">
        <f t="shared" si="42"/>
        <v>#N/A</v>
      </c>
      <c r="AA111" s="43" t="e">
        <f t="shared" si="43"/>
        <v>#DIV/0!</v>
      </c>
      <c r="AG111" s="31">
        <f t="shared" si="44"/>
        <v>0</v>
      </c>
      <c r="AH111" s="31">
        <f t="shared" si="45"/>
        <v>0</v>
      </c>
      <c r="AI111" s="28" t="e">
        <f t="shared" si="46"/>
        <v>#N/A</v>
      </c>
      <c r="AJ111" s="28" t="e">
        <f t="shared" si="47"/>
        <v>#N/A</v>
      </c>
      <c r="AK111" s="28" t="e">
        <f t="shared" si="48"/>
        <v>#N/A</v>
      </c>
      <c r="AL111" s="28" t="e">
        <f t="shared" si="49"/>
        <v>#N/A</v>
      </c>
      <c r="AM111" s="28" t="e">
        <f t="shared" si="50"/>
        <v>#N/A</v>
      </c>
      <c r="AN111" s="28" t="e">
        <f t="shared" si="51"/>
        <v>#N/A</v>
      </c>
      <c r="AO111" s="28" t="e">
        <f t="shared" si="52"/>
        <v>#N/A</v>
      </c>
      <c r="AP111" s="28" t="e">
        <f t="shared" si="53"/>
        <v>#N/A</v>
      </c>
      <c r="AQ111" s="28" t="e">
        <f t="shared" si="54"/>
        <v>#N/A</v>
      </c>
      <c r="AR111" s="28" t="e">
        <f t="shared" si="55"/>
        <v>#N/A</v>
      </c>
      <c r="AS111" s="28" t="e">
        <f t="shared" si="56"/>
        <v>#N/A</v>
      </c>
      <c r="AT111" s="28" t="e">
        <f t="shared" si="57"/>
        <v>#N/A</v>
      </c>
      <c r="AV111" s="31" t="e">
        <f>IF(O111&gt;MAX($V$4:$AE$4),MAX($V$4:$AE$4)-0.1,IF(O111&lt;MIN($V$4:$AE93),MIN($V$4:$AE$4)+0.1,O111))</f>
        <v>#DIV/0!</v>
      </c>
      <c r="AW111" s="31">
        <f t="shared" si="58"/>
        <v>0</v>
      </c>
      <c r="AX111" s="28" t="e">
        <f t="shared" si="59"/>
        <v>#DIV/0!</v>
      </c>
      <c r="AY111" s="28" t="e">
        <f t="shared" si="60"/>
        <v>#DIV/0!</v>
      </c>
      <c r="AZ111" s="28" t="e">
        <f t="shared" si="61"/>
        <v>#DIV/0!</v>
      </c>
      <c r="BA111" s="28" t="e">
        <f t="shared" si="62"/>
        <v>#DIV/0!</v>
      </c>
      <c r="BB111" s="28" t="e">
        <f t="shared" si="63"/>
        <v>#N/A</v>
      </c>
      <c r="BC111" s="28" t="e">
        <f t="shared" si="64"/>
        <v>#N/A</v>
      </c>
      <c r="BD111" s="28" t="e">
        <f t="shared" si="65"/>
        <v>#N/A</v>
      </c>
      <c r="BE111" s="28" t="e">
        <f t="shared" si="66"/>
        <v>#N/A</v>
      </c>
      <c r="BF111" s="28" t="e">
        <f t="shared" si="67"/>
        <v>#DIV/0!</v>
      </c>
      <c r="BG111" s="28" t="e">
        <f t="shared" si="68"/>
        <v>#DIV/0!</v>
      </c>
      <c r="BH111" s="28" t="e">
        <f t="shared" si="69"/>
        <v>#DIV/0!</v>
      </c>
      <c r="BI111" s="28" t="e">
        <f t="shared" si="70"/>
        <v>#DIV/0!</v>
      </c>
    </row>
    <row r="112" spans="2:61" ht="75" customHeight="1" x14ac:dyDescent="0.25">
      <c r="B112" s="17"/>
      <c r="C112" s="17"/>
      <c r="D112" s="17"/>
      <c r="E112" s="17"/>
      <c r="F112" s="17"/>
      <c r="G112" s="17"/>
      <c r="H112" s="65"/>
      <c r="I112" s="17"/>
      <c r="J112" s="17"/>
      <c r="K112" s="17"/>
      <c r="L112" s="17"/>
      <c r="M112" s="17" t="e">
        <f t="shared" si="71"/>
        <v>#DIV/0!</v>
      </c>
      <c r="N112" s="17"/>
      <c r="O112" s="17"/>
      <c r="P112" s="17"/>
      <c r="Q112" s="17"/>
      <c r="R112" s="17"/>
      <c r="S112" s="17"/>
      <c r="U112" s="17">
        <f t="shared" si="37"/>
        <v>0</v>
      </c>
      <c r="V112" s="17" t="e">
        <f t="shared" si="38"/>
        <v>#DIV/0!</v>
      </c>
      <c r="W112" s="30" t="e">
        <f t="shared" si="39"/>
        <v>#DIV/0!</v>
      </c>
      <c r="X112" s="17" t="e">
        <f t="shared" si="40"/>
        <v>#N/A</v>
      </c>
      <c r="Y112" s="17" t="e">
        <f t="shared" si="41"/>
        <v>#DIV/0!</v>
      </c>
      <c r="Z112" s="17" t="e">
        <f t="shared" si="42"/>
        <v>#N/A</v>
      </c>
      <c r="AA112" s="43" t="e">
        <f t="shared" si="43"/>
        <v>#DIV/0!</v>
      </c>
      <c r="AG112" s="31">
        <f t="shared" si="44"/>
        <v>0</v>
      </c>
      <c r="AH112" s="31">
        <f t="shared" si="45"/>
        <v>0</v>
      </c>
      <c r="AI112" s="28" t="e">
        <f t="shared" si="46"/>
        <v>#N/A</v>
      </c>
      <c r="AJ112" s="28" t="e">
        <f t="shared" si="47"/>
        <v>#N/A</v>
      </c>
      <c r="AK112" s="28" t="e">
        <f t="shared" si="48"/>
        <v>#N/A</v>
      </c>
      <c r="AL112" s="28" t="e">
        <f t="shared" si="49"/>
        <v>#N/A</v>
      </c>
      <c r="AM112" s="28" t="e">
        <f t="shared" si="50"/>
        <v>#N/A</v>
      </c>
      <c r="AN112" s="28" t="e">
        <f t="shared" si="51"/>
        <v>#N/A</v>
      </c>
      <c r="AO112" s="28" t="e">
        <f t="shared" si="52"/>
        <v>#N/A</v>
      </c>
      <c r="AP112" s="28" t="e">
        <f t="shared" si="53"/>
        <v>#N/A</v>
      </c>
      <c r="AQ112" s="28" t="e">
        <f t="shared" si="54"/>
        <v>#N/A</v>
      </c>
      <c r="AR112" s="28" t="e">
        <f t="shared" si="55"/>
        <v>#N/A</v>
      </c>
      <c r="AS112" s="28" t="e">
        <f t="shared" si="56"/>
        <v>#N/A</v>
      </c>
      <c r="AT112" s="28" t="e">
        <f t="shared" si="57"/>
        <v>#N/A</v>
      </c>
      <c r="AV112" s="31" t="e">
        <f>IF(O112&gt;MAX($V$4:$AE$4),MAX($V$4:$AE$4)-0.1,IF(O112&lt;MIN($V$4:$AE94),MIN($V$4:$AE$4)+0.1,O112))</f>
        <v>#DIV/0!</v>
      </c>
      <c r="AW112" s="31">
        <f t="shared" si="58"/>
        <v>0</v>
      </c>
      <c r="AX112" s="28" t="e">
        <f t="shared" si="59"/>
        <v>#DIV/0!</v>
      </c>
      <c r="AY112" s="28" t="e">
        <f t="shared" si="60"/>
        <v>#DIV/0!</v>
      </c>
      <c r="AZ112" s="28" t="e">
        <f t="shared" si="61"/>
        <v>#DIV/0!</v>
      </c>
      <c r="BA112" s="28" t="e">
        <f t="shared" si="62"/>
        <v>#DIV/0!</v>
      </c>
      <c r="BB112" s="28" t="e">
        <f t="shared" si="63"/>
        <v>#N/A</v>
      </c>
      <c r="BC112" s="28" t="e">
        <f t="shared" si="64"/>
        <v>#N/A</v>
      </c>
      <c r="BD112" s="28" t="e">
        <f t="shared" si="65"/>
        <v>#N/A</v>
      </c>
      <c r="BE112" s="28" t="e">
        <f t="shared" si="66"/>
        <v>#N/A</v>
      </c>
      <c r="BF112" s="28" t="e">
        <f t="shared" si="67"/>
        <v>#DIV/0!</v>
      </c>
      <c r="BG112" s="28" t="e">
        <f t="shared" si="68"/>
        <v>#DIV/0!</v>
      </c>
      <c r="BH112" s="28" t="e">
        <f t="shared" si="69"/>
        <v>#DIV/0!</v>
      </c>
      <c r="BI112" s="28" t="e">
        <f t="shared" si="70"/>
        <v>#DIV/0!</v>
      </c>
    </row>
    <row r="113" spans="2:61" ht="75" customHeight="1" x14ac:dyDescent="0.25">
      <c r="B113" s="17"/>
      <c r="C113" s="17"/>
      <c r="D113" s="17"/>
      <c r="E113" s="17"/>
      <c r="F113" s="17"/>
      <c r="G113" s="17"/>
      <c r="H113" s="65"/>
      <c r="I113" s="17"/>
      <c r="J113" s="17"/>
      <c r="K113" s="17"/>
      <c r="L113" s="17"/>
      <c r="M113" s="17" t="e">
        <f t="shared" si="71"/>
        <v>#DIV/0!</v>
      </c>
      <c r="N113" s="17"/>
      <c r="O113" s="17"/>
      <c r="P113" s="17"/>
      <c r="Q113" s="17"/>
      <c r="R113" s="17"/>
      <c r="S113" s="17"/>
      <c r="U113" s="17">
        <f t="shared" si="37"/>
        <v>0</v>
      </c>
      <c r="V113" s="17" t="e">
        <f t="shared" si="38"/>
        <v>#DIV/0!</v>
      </c>
      <c r="W113" s="30" t="e">
        <f t="shared" si="39"/>
        <v>#DIV/0!</v>
      </c>
      <c r="X113" s="17" t="e">
        <f t="shared" si="40"/>
        <v>#N/A</v>
      </c>
      <c r="Y113" s="17" t="e">
        <f t="shared" si="41"/>
        <v>#DIV/0!</v>
      </c>
      <c r="Z113" s="17" t="e">
        <f t="shared" si="42"/>
        <v>#N/A</v>
      </c>
      <c r="AA113" s="43" t="e">
        <f t="shared" si="43"/>
        <v>#DIV/0!</v>
      </c>
      <c r="AG113" s="31">
        <f t="shared" si="44"/>
        <v>0</v>
      </c>
      <c r="AH113" s="31">
        <f t="shared" si="45"/>
        <v>0</v>
      </c>
      <c r="AI113" s="28" t="e">
        <f t="shared" si="46"/>
        <v>#N/A</v>
      </c>
      <c r="AJ113" s="28" t="e">
        <f t="shared" si="47"/>
        <v>#N/A</v>
      </c>
      <c r="AK113" s="28" t="e">
        <f t="shared" si="48"/>
        <v>#N/A</v>
      </c>
      <c r="AL113" s="28" t="e">
        <f t="shared" si="49"/>
        <v>#N/A</v>
      </c>
      <c r="AM113" s="28" t="e">
        <f t="shared" si="50"/>
        <v>#N/A</v>
      </c>
      <c r="AN113" s="28" t="e">
        <f t="shared" si="51"/>
        <v>#N/A</v>
      </c>
      <c r="AO113" s="28" t="e">
        <f t="shared" si="52"/>
        <v>#N/A</v>
      </c>
      <c r="AP113" s="28" t="e">
        <f t="shared" si="53"/>
        <v>#N/A</v>
      </c>
      <c r="AQ113" s="28" t="e">
        <f t="shared" si="54"/>
        <v>#N/A</v>
      </c>
      <c r="AR113" s="28" t="e">
        <f t="shared" si="55"/>
        <v>#N/A</v>
      </c>
      <c r="AS113" s="28" t="e">
        <f t="shared" si="56"/>
        <v>#N/A</v>
      </c>
      <c r="AT113" s="28" t="e">
        <f t="shared" si="57"/>
        <v>#N/A</v>
      </c>
      <c r="AV113" s="31" t="e">
        <f>IF(O113&gt;MAX($V$4:$AE$4),MAX($V$4:$AE$4)-0.1,IF(O113&lt;MIN($V$4:$AE95),MIN($V$4:$AE$4)+0.1,O113))</f>
        <v>#DIV/0!</v>
      </c>
      <c r="AW113" s="31">
        <f t="shared" si="58"/>
        <v>0</v>
      </c>
      <c r="AX113" s="28" t="e">
        <f t="shared" si="59"/>
        <v>#DIV/0!</v>
      </c>
      <c r="AY113" s="28" t="e">
        <f t="shared" si="60"/>
        <v>#DIV/0!</v>
      </c>
      <c r="AZ113" s="28" t="e">
        <f t="shared" si="61"/>
        <v>#DIV/0!</v>
      </c>
      <c r="BA113" s="28" t="e">
        <f t="shared" si="62"/>
        <v>#DIV/0!</v>
      </c>
      <c r="BB113" s="28" t="e">
        <f t="shared" si="63"/>
        <v>#N/A</v>
      </c>
      <c r="BC113" s="28" t="e">
        <f t="shared" si="64"/>
        <v>#N/A</v>
      </c>
      <c r="BD113" s="28" t="e">
        <f t="shared" si="65"/>
        <v>#N/A</v>
      </c>
      <c r="BE113" s="28" t="e">
        <f t="shared" si="66"/>
        <v>#N/A</v>
      </c>
      <c r="BF113" s="28" t="e">
        <f t="shared" si="67"/>
        <v>#DIV/0!</v>
      </c>
      <c r="BG113" s="28" t="e">
        <f t="shared" si="68"/>
        <v>#DIV/0!</v>
      </c>
      <c r="BH113" s="28" t="e">
        <f t="shared" si="69"/>
        <v>#DIV/0!</v>
      </c>
      <c r="BI113" s="28" t="e">
        <f t="shared" si="70"/>
        <v>#DIV/0!</v>
      </c>
    </row>
    <row r="114" spans="2:61" ht="75" customHeight="1" x14ac:dyDescent="0.25">
      <c r="B114" s="17"/>
      <c r="C114" s="17"/>
      <c r="D114" s="17"/>
      <c r="E114" s="17"/>
      <c r="F114" s="17"/>
      <c r="G114" s="17"/>
      <c r="H114" s="65"/>
      <c r="I114" s="17"/>
      <c r="J114" s="17"/>
      <c r="K114" s="17"/>
      <c r="L114" s="17"/>
      <c r="M114" s="17" t="e">
        <f t="shared" si="71"/>
        <v>#DIV/0!</v>
      </c>
      <c r="N114" s="17"/>
      <c r="O114" s="17"/>
      <c r="P114" s="17"/>
      <c r="Q114" s="17"/>
      <c r="R114" s="17"/>
      <c r="S114" s="17"/>
      <c r="U114" s="17">
        <f t="shared" si="37"/>
        <v>0</v>
      </c>
      <c r="V114" s="17" t="e">
        <f t="shared" si="38"/>
        <v>#DIV/0!</v>
      </c>
      <c r="W114" s="30" t="e">
        <f t="shared" si="39"/>
        <v>#DIV/0!</v>
      </c>
      <c r="X114" s="17" t="e">
        <f t="shared" si="40"/>
        <v>#N/A</v>
      </c>
      <c r="Y114" s="17" t="e">
        <f t="shared" si="41"/>
        <v>#DIV/0!</v>
      </c>
      <c r="Z114" s="17" t="e">
        <f t="shared" si="42"/>
        <v>#N/A</v>
      </c>
      <c r="AA114" s="43" t="e">
        <f t="shared" si="43"/>
        <v>#DIV/0!</v>
      </c>
      <c r="AG114" s="31">
        <f t="shared" si="44"/>
        <v>0</v>
      </c>
      <c r="AH114" s="31">
        <f t="shared" si="45"/>
        <v>0</v>
      </c>
      <c r="AI114" s="28" t="e">
        <f t="shared" si="46"/>
        <v>#N/A</v>
      </c>
      <c r="AJ114" s="28" t="e">
        <f t="shared" si="47"/>
        <v>#N/A</v>
      </c>
      <c r="AK114" s="28" t="e">
        <f t="shared" si="48"/>
        <v>#N/A</v>
      </c>
      <c r="AL114" s="28" t="e">
        <f t="shared" si="49"/>
        <v>#N/A</v>
      </c>
      <c r="AM114" s="28" t="e">
        <f t="shared" si="50"/>
        <v>#N/A</v>
      </c>
      <c r="AN114" s="28" t="e">
        <f t="shared" si="51"/>
        <v>#N/A</v>
      </c>
      <c r="AO114" s="28" t="e">
        <f t="shared" si="52"/>
        <v>#N/A</v>
      </c>
      <c r="AP114" s="28" t="e">
        <f t="shared" si="53"/>
        <v>#N/A</v>
      </c>
      <c r="AQ114" s="28" t="e">
        <f t="shared" si="54"/>
        <v>#N/A</v>
      </c>
      <c r="AR114" s="28" t="e">
        <f t="shared" si="55"/>
        <v>#N/A</v>
      </c>
      <c r="AS114" s="28" t="e">
        <f t="shared" si="56"/>
        <v>#N/A</v>
      </c>
      <c r="AT114" s="28" t="e">
        <f t="shared" si="57"/>
        <v>#N/A</v>
      </c>
      <c r="AV114" s="31" t="e">
        <f>IF(O114&gt;MAX($V$4:$AE$4),MAX($V$4:$AE$4)-0.1,IF(O114&lt;MIN($V$4:$AE96),MIN($V$4:$AE$4)+0.1,O114))</f>
        <v>#DIV/0!</v>
      </c>
      <c r="AW114" s="31">
        <f t="shared" si="58"/>
        <v>0</v>
      </c>
      <c r="AX114" s="28" t="e">
        <f t="shared" si="59"/>
        <v>#DIV/0!</v>
      </c>
      <c r="AY114" s="28" t="e">
        <f t="shared" si="60"/>
        <v>#DIV/0!</v>
      </c>
      <c r="AZ114" s="28" t="e">
        <f t="shared" si="61"/>
        <v>#DIV/0!</v>
      </c>
      <c r="BA114" s="28" t="e">
        <f t="shared" si="62"/>
        <v>#DIV/0!</v>
      </c>
      <c r="BB114" s="28" t="e">
        <f t="shared" si="63"/>
        <v>#N/A</v>
      </c>
      <c r="BC114" s="28" t="e">
        <f t="shared" si="64"/>
        <v>#N/A</v>
      </c>
      <c r="BD114" s="28" t="e">
        <f t="shared" si="65"/>
        <v>#N/A</v>
      </c>
      <c r="BE114" s="28" t="e">
        <f t="shared" si="66"/>
        <v>#N/A</v>
      </c>
      <c r="BF114" s="28" t="e">
        <f t="shared" si="67"/>
        <v>#DIV/0!</v>
      </c>
      <c r="BG114" s="28" t="e">
        <f t="shared" si="68"/>
        <v>#DIV/0!</v>
      </c>
      <c r="BH114" s="28" t="e">
        <f t="shared" si="69"/>
        <v>#DIV/0!</v>
      </c>
      <c r="BI114" s="28" t="e">
        <f t="shared" si="70"/>
        <v>#DIV/0!</v>
      </c>
    </row>
    <row r="115" spans="2:61" ht="75" customHeight="1" x14ac:dyDescent="0.25">
      <c r="B115" s="17"/>
      <c r="C115" s="17"/>
      <c r="D115" s="17"/>
      <c r="E115" s="17"/>
      <c r="F115" s="17"/>
      <c r="G115" s="17"/>
      <c r="H115" s="65"/>
      <c r="I115" s="17"/>
      <c r="J115" s="17"/>
      <c r="K115" s="17"/>
      <c r="L115" s="17"/>
      <c r="M115" s="17" t="e">
        <f t="shared" si="71"/>
        <v>#DIV/0!</v>
      </c>
      <c r="N115" s="17"/>
      <c r="O115" s="17"/>
      <c r="P115" s="17"/>
      <c r="Q115" s="17"/>
      <c r="R115" s="17"/>
      <c r="S115" s="17"/>
      <c r="U115" s="17">
        <f t="shared" si="37"/>
        <v>0</v>
      </c>
      <c r="V115" s="17" t="e">
        <f t="shared" si="38"/>
        <v>#DIV/0!</v>
      </c>
      <c r="W115" s="30" t="e">
        <f t="shared" si="39"/>
        <v>#DIV/0!</v>
      </c>
      <c r="X115" s="17" t="e">
        <f t="shared" si="40"/>
        <v>#N/A</v>
      </c>
      <c r="Y115" s="17" t="e">
        <f t="shared" si="41"/>
        <v>#DIV/0!</v>
      </c>
      <c r="Z115" s="17" t="e">
        <f t="shared" si="42"/>
        <v>#N/A</v>
      </c>
      <c r="AA115" s="43" t="e">
        <f t="shared" si="43"/>
        <v>#DIV/0!</v>
      </c>
      <c r="AG115" s="31">
        <f t="shared" si="44"/>
        <v>0</v>
      </c>
      <c r="AH115" s="31">
        <f t="shared" si="45"/>
        <v>0</v>
      </c>
      <c r="AI115" s="28" t="e">
        <f t="shared" si="46"/>
        <v>#N/A</v>
      </c>
      <c r="AJ115" s="28" t="e">
        <f t="shared" si="47"/>
        <v>#N/A</v>
      </c>
      <c r="AK115" s="28" t="e">
        <f t="shared" si="48"/>
        <v>#N/A</v>
      </c>
      <c r="AL115" s="28" t="e">
        <f t="shared" si="49"/>
        <v>#N/A</v>
      </c>
      <c r="AM115" s="28" t="e">
        <f t="shared" si="50"/>
        <v>#N/A</v>
      </c>
      <c r="AN115" s="28" t="e">
        <f t="shared" si="51"/>
        <v>#N/A</v>
      </c>
      <c r="AO115" s="28" t="e">
        <f t="shared" si="52"/>
        <v>#N/A</v>
      </c>
      <c r="AP115" s="28" t="e">
        <f t="shared" si="53"/>
        <v>#N/A</v>
      </c>
      <c r="AQ115" s="28" t="e">
        <f t="shared" si="54"/>
        <v>#N/A</v>
      </c>
      <c r="AR115" s="28" t="e">
        <f t="shared" si="55"/>
        <v>#N/A</v>
      </c>
      <c r="AS115" s="28" t="e">
        <f t="shared" si="56"/>
        <v>#N/A</v>
      </c>
      <c r="AT115" s="28" t="e">
        <f t="shared" si="57"/>
        <v>#N/A</v>
      </c>
      <c r="AV115" s="31" t="e">
        <f>IF(O115&gt;MAX($V$4:$AE$4),MAX($V$4:$AE$4)-0.1,IF(O115&lt;MIN($V$4:$AE97),MIN($V$4:$AE$4)+0.1,O115))</f>
        <v>#DIV/0!</v>
      </c>
      <c r="AW115" s="31">
        <f t="shared" si="58"/>
        <v>0</v>
      </c>
      <c r="AX115" s="28" t="e">
        <f t="shared" si="59"/>
        <v>#DIV/0!</v>
      </c>
      <c r="AY115" s="28" t="e">
        <f t="shared" si="60"/>
        <v>#DIV/0!</v>
      </c>
      <c r="AZ115" s="28" t="e">
        <f t="shared" si="61"/>
        <v>#DIV/0!</v>
      </c>
      <c r="BA115" s="28" t="e">
        <f t="shared" si="62"/>
        <v>#DIV/0!</v>
      </c>
      <c r="BB115" s="28" t="e">
        <f t="shared" si="63"/>
        <v>#N/A</v>
      </c>
      <c r="BC115" s="28" t="e">
        <f t="shared" si="64"/>
        <v>#N/A</v>
      </c>
      <c r="BD115" s="28" t="e">
        <f t="shared" si="65"/>
        <v>#N/A</v>
      </c>
      <c r="BE115" s="28" t="e">
        <f t="shared" si="66"/>
        <v>#N/A</v>
      </c>
      <c r="BF115" s="28" t="e">
        <f t="shared" si="67"/>
        <v>#DIV/0!</v>
      </c>
      <c r="BG115" s="28" t="e">
        <f t="shared" si="68"/>
        <v>#DIV/0!</v>
      </c>
      <c r="BH115" s="28" t="e">
        <f t="shared" si="69"/>
        <v>#DIV/0!</v>
      </c>
      <c r="BI115" s="28" t="e">
        <f t="shared" si="70"/>
        <v>#DIV/0!</v>
      </c>
    </row>
    <row r="116" spans="2:61" ht="75" customHeight="1" x14ac:dyDescent="0.25">
      <c r="B116" s="17"/>
      <c r="C116" s="17"/>
      <c r="D116" s="17"/>
      <c r="E116" s="17"/>
      <c r="F116" s="17"/>
      <c r="G116" s="17"/>
      <c r="H116" s="65"/>
      <c r="I116" s="17"/>
      <c r="J116" s="17"/>
      <c r="K116" s="17"/>
      <c r="L116" s="17"/>
      <c r="M116" s="17" t="e">
        <f t="shared" si="71"/>
        <v>#DIV/0!</v>
      </c>
      <c r="N116" s="17"/>
      <c r="O116" s="17"/>
      <c r="P116" s="17"/>
      <c r="Q116" s="17"/>
      <c r="R116" s="17"/>
      <c r="S116" s="17"/>
      <c r="U116" s="17">
        <f t="shared" ref="U116:U179" si="72">Q116/16</f>
        <v>0</v>
      </c>
      <c r="V116" s="17" t="e">
        <f t="shared" ref="V116:V179" si="73">R116/U116</f>
        <v>#DIV/0!</v>
      </c>
      <c r="W116" s="30" t="e">
        <f t="shared" ref="W116:W179" si="74">S116/V116*16</f>
        <v>#DIV/0!</v>
      </c>
      <c r="X116" s="17" t="e">
        <f t="shared" ref="X116:X179" si="75">INT((AQ116+((AR116-AQ116)*(AG116-AK116)/(AL116-AK116)))+(((AS116+((AT116-AS116)*(AG116-AK116)/(AL116-AK116)))-(AQ116+((AR116-AQ116)*(AG116-AK116)/(AL116-AK116))))*(AH116-AO116)/(AP116-AO116)))</f>
        <v>#N/A</v>
      </c>
      <c r="Y116" s="17" t="e">
        <f t="shared" ref="Y116:Y179" si="76">INT((BF116+((BG116-BF116)*(AV116-AZ116)/(BA116-AZ116)))+(((BH116+((BI116-BH116)*(AV116-AZ116)/(BA116-AZ116)))-(BF116+((BG116-BF116)*(AV116-AZ116)/(BA116-AZ116))))*(AW116-BD116)/(BE116-BD116)))</f>
        <v>#DIV/0!</v>
      </c>
      <c r="Z116" s="17" t="e">
        <f t="shared" ref="Z116:Z179" si="77">(X116*(1024-K116)+Y116*K116)/1024</f>
        <v>#N/A</v>
      </c>
      <c r="AA116" s="43" t="e">
        <f t="shared" ref="AA116:AA179" si="78">W116-Z116</f>
        <v>#DIV/0!</v>
      </c>
      <c r="AG116" s="31">
        <f t="shared" ref="AG116:AG179" si="79">IF(O116&gt;MAX($J$4:$S$4),MAX($J$4:$S$4)-0.1,IF(O116&lt;MIN($J$4:$S$4),MIN($J$4:$S$4)+0.1,O116))</f>
        <v>0</v>
      </c>
      <c r="AH116" s="31">
        <f t="shared" ref="AH116:AH179" si="80">IF(P116&gt;MAX($J$5:$S$5),MAX($J$5:$S$5)-0.1,IF(P116&lt;MIN($J$5:$S$5),MIN($J$5:$S$5)+0.1,P116))</f>
        <v>0</v>
      </c>
      <c r="AI116" s="28" t="e">
        <f t="shared" ref="AI116:AI179" si="81">_xlfn.XLOOKUP(AK116,$J$4:$S$4,$J$6:$S$6)</f>
        <v>#N/A</v>
      </c>
      <c r="AJ116" s="28" t="e">
        <f t="shared" ref="AJ116:AJ179" si="82">AI116+1</f>
        <v>#N/A</v>
      </c>
      <c r="AK116" s="28" t="e">
        <f t="shared" ref="AK116:AK179" si="83">HLOOKUP(ROUNDUP(AG116,1),$J$4:$S$4,1,TRUE)</f>
        <v>#N/A</v>
      </c>
      <c r="AL116" s="28" t="e">
        <f t="shared" ref="AL116:AL179" si="84">_xlfn.XLOOKUP(AJ116,$J$6:$S$6,$J$4:$S$4)</f>
        <v>#N/A</v>
      </c>
      <c r="AM116" s="28" t="e">
        <f t="shared" ref="AM116:AM179" si="85">_xlfn.XLOOKUP(AO116,$J$5:$S$5,$J$6:$S$6)</f>
        <v>#N/A</v>
      </c>
      <c r="AN116" s="28" t="e">
        <f t="shared" ref="AN116:AN179" si="86">AM116+1</f>
        <v>#N/A</v>
      </c>
      <c r="AO116" s="28" t="e">
        <f t="shared" ref="AO116:AO179" si="87">HLOOKUP(AH116,$J$5:$S$5,1,TRUE)</f>
        <v>#N/A</v>
      </c>
      <c r="AP116" s="28" t="e">
        <f t="shared" ref="AP116:AP179" si="88">_xlfn.XLOOKUP(AN116,$J$6:$S$6,$J$5:$S$5)</f>
        <v>#N/A</v>
      </c>
      <c r="AQ116" s="28" t="e">
        <f t="shared" ref="AQ116:AQ179" si="89">VLOOKUP(AK116,$I$8:$S$17,AM116+1,FALSE)</f>
        <v>#N/A</v>
      </c>
      <c r="AR116" s="28" t="e">
        <f t="shared" ref="AR116:AR179" si="90">VLOOKUP(AL116,$I$8:$S$17,AM116+1,FALSE)</f>
        <v>#N/A</v>
      </c>
      <c r="AS116" s="28" t="e">
        <f t="shared" ref="AS116:AS179" si="91">VLOOKUP(AK116,$I$8:$S$17,AN116+1,FALSE)</f>
        <v>#N/A</v>
      </c>
      <c r="AT116" s="28" t="e">
        <f t="shared" ref="AT116:AT179" si="92">VLOOKUP(AL116,$I$8:$S$17,AN116+1,FALSE)</f>
        <v>#N/A</v>
      </c>
      <c r="AV116" s="31" t="e">
        <f>IF(O116&gt;MAX($V$4:$AE$4),MAX($V$4:$AE$4)-0.1,IF(O116&lt;MIN($V$4:$AE98),MIN($V$4:$AE$4)+0.1,O116))</f>
        <v>#DIV/0!</v>
      </c>
      <c r="AW116" s="31">
        <f t="shared" ref="AW116:AW179" si="93">IF(P116&gt;MAX($V$5:$AE$5),MAX($V$5:$AE$5)-0.1,IF(P116&lt;MIN($V$5:$AE$5),MIN($V$5:$AE$5)+0.1,P116))</f>
        <v>0</v>
      </c>
      <c r="AX116" s="28" t="e">
        <f t="shared" ref="AX116:AX179" si="94">_xlfn.XLOOKUP(AZ116,$V$4:$AE$4,$V$6:$AE$6)</f>
        <v>#DIV/0!</v>
      </c>
      <c r="AY116" s="28" t="e">
        <f t="shared" ref="AY116:AY179" si="95">AX116+1</f>
        <v>#DIV/0!</v>
      </c>
      <c r="AZ116" s="28" t="e">
        <f t="shared" ref="AZ116:AZ179" si="96">HLOOKUP(ROUNDUP(AV116,1),$V$4:$AE$4,1,TRUE)</f>
        <v>#DIV/0!</v>
      </c>
      <c r="BA116" s="28" t="e">
        <f t="shared" ref="BA116:BA179" si="97">_xlfn.XLOOKUP(AY116,$V$6:$AE$6,$V$4:$AE$4)</f>
        <v>#DIV/0!</v>
      </c>
      <c r="BB116" s="28" t="e">
        <f t="shared" ref="BB116:BB179" si="98">_xlfn.XLOOKUP(BD116,$V$5:$AE$5,$V$6:$AE$6)</f>
        <v>#N/A</v>
      </c>
      <c r="BC116" s="28" t="e">
        <f t="shared" ref="BC116:BC179" si="99">BB116+1</f>
        <v>#N/A</v>
      </c>
      <c r="BD116" s="28" t="e">
        <f t="shared" ref="BD116:BD179" si="100">HLOOKUP(AW116,$V$5:$AE$5,1,TRUE)</f>
        <v>#N/A</v>
      </c>
      <c r="BE116" s="28" t="e">
        <f t="shared" ref="BE116:BE179" si="101">_xlfn.XLOOKUP(BC116,$V$6:$AE$6,$V$5:$AE$5)</f>
        <v>#N/A</v>
      </c>
      <c r="BF116" s="28" t="e">
        <f t="shared" ref="BF116:BF179" si="102">VLOOKUP(AZ116,$U$8:$AE$17,BB116+1,FALSE)</f>
        <v>#DIV/0!</v>
      </c>
      <c r="BG116" s="28" t="e">
        <f t="shared" ref="BG116:BG179" si="103">VLOOKUP(BA116,$U$8:$AE$17,BB116+1,FALSE)</f>
        <v>#DIV/0!</v>
      </c>
      <c r="BH116" s="28" t="e">
        <f t="shared" ref="BH116:BH179" si="104">VLOOKUP(AZ116,$U$8:$AE$17,BC116+1,FALSE)</f>
        <v>#DIV/0!</v>
      </c>
      <c r="BI116" s="28" t="e">
        <f t="shared" ref="BI116:BI179" si="105">VLOOKUP(BA116,$U$8:$AE$17,BC116+1,FALSE)</f>
        <v>#DIV/0!</v>
      </c>
    </row>
    <row r="117" spans="2:61" ht="75" customHeight="1" x14ac:dyDescent="0.25">
      <c r="B117" s="17"/>
      <c r="C117" s="17"/>
      <c r="D117" s="17"/>
      <c r="E117" s="17"/>
      <c r="F117" s="17"/>
      <c r="G117" s="17"/>
      <c r="H117" s="65"/>
      <c r="I117" s="17"/>
      <c r="J117" s="17"/>
      <c r="K117" s="17"/>
      <c r="L117" s="17"/>
      <c r="M117" s="17" t="e">
        <f t="shared" si="71"/>
        <v>#DIV/0!</v>
      </c>
      <c r="N117" s="17"/>
      <c r="O117" s="17"/>
      <c r="P117" s="17"/>
      <c r="Q117" s="17"/>
      <c r="R117" s="17"/>
      <c r="S117" s="17"/>
      <c r="U117" s="17">
        <f t="shared" si="72"/>
        <v>0</v>
      </c>
      <c r="V117" s="17" t="e">
        <f t="shared" si="73"/>
        <v>#DIV/0!</v>
      </c>
      <c r="W117" s="30" t="e">
        <f t="shared" si="74"/>
        <v>#DIV/0!</v>
      </c>
      <c r="X117" s="17" t="e">
        <f t="shared" si="75"/>
        <v>#N/A</v>
      </c>
      <c r="Y117" s="17" t="e">
        <f t="shared" si="76"/>
        <v>#DIV/0!</v>
      </c>
      <c r="Z117" s="17" t="e">
        <f t="shared" si="77"/>
        <v>#N/A</v>
      </c>
      <c r="AA117" s="43" t="e">
        <f t="shared" si="78"/>
        <v>#DIV/0!</v>
      </c>
      <c r="AG117" s="31">
        <f t="shared" si="79"/>
        <v>0</v>
      </c>
      <c r="AH117" s="31">
        <f t="shared" si="80"/>
        <v>0</v>
      </c>
      <c r="AI117" s="28" t="e">
        <f t="shared" si="81"/>
        <v>#N/A</v>
      </c>
      <c r="AJ117" s="28" t="e">
        <f t="shared" si="82"/>
        <v>#N/A</v>
      </c>
      <c r="AK117" s="28" t="e">
        <f t="shared" si="83"/>
        <v>#N/A</v>
      </c>
      <c r="AL117" s="28" t="e">
        <f t="shared" si="84"/>
        <v>#N/A</v>
      </c>
      <c r="AM117" s="28" t="e">
        <f t="shared" si="85"/>
        <v>#N/A</v>
      </c>
      <c r="AN117" s="28" t="e">
        <f t="shared" si="86"/>
        <v>#N/A</v>
      </c>
      <c r="AO117" s="28" t="e">
        <f t="shared" si="87"/>
        <v>#N/A</v>
      </c>
      <c r="AP117" s="28" t="e">
        <f t="shared" si="88"/>
        <v>#N/A</v>
      </c>
      <c r="AQ117" s="28" t="e">
        <f t="shared" si="89"/>
        <v>#N/A</v>
      </c>
      <c r="AR117" s="28" t="e">
        <f t="shared" si="90"/>
        <v>#N/A</v>
      </c>
      <c r="AS117" s="28" t="e">
        <f t="shared" si="91"/>
        <v>#N/A</v>
      </c>
      <c r="AT117" s="28" t="e">
        <f t="shared" si="92"/>
        <v>#N/A</v>
      </c>
      <c r="AV117" s="31" t="e">
        <f>IF(O117&gt;MAX($V$4:$AE$4),MAX($V$4:$AE$4)-0.1,IF(O117&lt;MIN($V$4:$AE99),MIN($V$4:$AE$4)+0.1,O117))</f>
        <v>#DIV/0!</v>
      </c>
      <c r="AW117" s="31">
        <f t="shared" si="93"/>
        <v>0</v>
      </c>
      <c r="AX117" s="28" t="e">
        <f t="shared" si="94"/>
        <v>#DIV/0!</v>
      </c>
      <c r="AY117" s="28" t="e">
        <f t="shared" si="95"/>
        <v>#DIV/0!</v>
      </c>
      <c r="AZ117" s="28" t="e">
        <f t="shared" si="96"/>
        <v>#DIV/0!</v>
      </c>
      <c r="BA117" s="28" t="e">
        <f t="shared" si="97"/>
        <v>#DIV/0!</v>
      </c>
      <c r="BB117" s="28" t="e">
        <f t="shared" si="98"/>
        <v>#N/A</v>
      </c>
      <c r="BC117" s="28" t="e">
        <f t="shared" si="99"/>
        <v>#N/A</v>
      </c>
      <c r="BD117" s="28" t="e">
        <f t="shared" si="100"/>
        <v>#N/A</v>
      </c>
      <c r="BE117" s="28" t="e">
        <f t="shared" si="101"/>
        <v>#N/A</v>
      </c>
      <c r="BF117" s="28" t="e">
        <f t="shared" si="102"/>
        <v>#DIV/0!</v>
      </c>
      <c r="BG117" s="28" t="e">
        <f t="shared" si="103"/>
        <v>#DIV/0!</v>
      </c>
      <c r="BH117" s="28" t="e">
        <f t="shared" si="104"/>
        <v>#DIV/0!</v>
      </c>
      <c r="BI117" s="28" t="e">
        <f t="shared" si="105"/>
        <v>#DIV/0!</v>
      </c>
    </row>
    <row r="118" spans="2:61" ht="75" customHeight="1" x14ac:dyDescent="0.25">
      <c r="B118" s="17"/>
      <c r="C118" s="17"/>
      <c r="D118" s="17"/>
      <c r="E118" s="17"/>
      <c r="F118" s="17"/>
      <c r="G118" s="17"/>
      <c r="H118" s="65"/>
      <c r="I118" s="17"/>
      <c r="J118" s="17"/>
      <c r="K118" s="17"/>
      <c r="L118" s="17"/>
      <c r="M118" s="17" t="e">
        <f t="shared" si="71"/>
        <v>#DIV/0!</v>
      </c>
      <c r="N118" s="17"/>
      <c r="O118" s="17"/>
      <c r="P118" s="17"/>
      <c r="Q118" s="17"/>
      <c r="R118" s="17"/>
      <c r="S118" s="17"/>
      <c r="U118" s="17">
        <f t="shared" si="72"/>
        <v>0</v>
      </c>
      <c r="V118" s="17" t="e">
        <f t="shared" si="73"/>
        <v>#DIV/0!</v>
      </c>
      <c r="W118" s="30" t="e">
        <f t="shared" si="74"/>
        <v>#DIV/0!</v>
      </c>
      <c r="X118" s="17" t="e">
        <f t="shared" si="75"/>
        <v>#N/A</v>
      </c>
      <c r="Y118" s="17" t="e">
        <f t="shared" si="76"/>
        <v>#DIV/0!</v>
      </c>
      <c r="Z118" s="17" t="e">
        <f t="shared" si="77"/>
        <v>#N/A</v>
      </c>
      <c r="AA118" s="43" t="e">
        <f t="shared" si="78"/>
        <v>#DIV/0!</v>
      </c>
      <c r="AG118" s="31">
        <f t="shared" si="79"/>
        <v>0</v>
      </c>
      <c r="AH118" s="31">
        <f t="shared" si="80"/>
        <v>0</v>
      </c>
      <c r="AI118" s="28" t="e">
        <f t="shared" si="81"/>
        <v>#N/A</v>
      </c>
      <c r="AJ118" s="28" t="e">
        <f t="shared" si="82"/>
        <v>#N/A</v>
      </c>
      <c r="AK118" s="28" t="e">
        <f t="shared" si="83"/>
        <v>#N/A</v>
      </c>
      <c r="AL118" s="28" t="e">
        <f t="shared" si="84"/>
        <v>#N/A</v>
      </c>
      <c r="AM118" s="28" t="e">
        <f t="shared" si="85"/>
        <v>#N/A</v>
      </c>
      <c r="AN118" s="28" t="e">
        <f t="shared" si="86"/>
        <v>#N/A</v>
      </c>
      <c r="AO118" s="28" t="e">
        <f t="shared" si="87"/>
        <v>#N/A</v>
      </c>
      <c r="AP118" s="28" t="e">
        <f t="shared" si="88"/>
        <v>#N/A</v>
      </c>
      <c r="AQ118" s="28" t="e">
        <f t="shared" si="89"/>
        <v>#N/A</v>
      </c>
      <c r="AR118" s="28" t="e">
        <f t="shared" si="90"/>
        <v>#N/A</v>
      </c>
      <c r="AS118" s="28" t="e">
        <f t="shared" si="91"/>
        <v>#N/A</v>
      </c>
      <c r="AT118" s="28" t="e">
        <f t="shared" si="92"/>
        <v>#N/A</v>
      </c>
      <c r="AV118" s="31" t="e">
        <f>IF(O118&gt;MAX($V$4:$AE$4),MAX($V$4:$AE$4)-0.1,IF(O118&lt;MIN($V$4:$AE100),MIN($V$4:$AE$4)+0.1,O118))</f>
        <v>#DIV/0!</v>
      </c>
      <c r="AW118" s="31">
        <f t="shared" si="93"/>
        <v>0</v>
      </c>
      <c r="AX118" s="28" t="e">
        <f t="shared" si="94"/>
        <v>#DIV/0!</v>
      </c>
      <c r="AY118" s="28" t="e">
        <f t="shared" si="95"/>
        <v>#DIV/0!</v>
      </c>
      <c r="AZ118" s="28" t="e">
        <f t="shared" si="96"/>
        <v>#DIV/0!</v>
      </c>
      <c r="BA118" s="28" t="e">
        <f t="shared" si="97"/>
        <v>#DIV/0!</v>
      </c>
      <c r="BB118" s="28" t="e">
        <f t="shared" si="98"/>
        <v>#N/A</v>
      </c>
      <c r="BC118" s="28" t="e">
        <f t="shared" si="99"/>
        <v>#N/A</v>
      </c>
      <c r="BD118" s="28" t="e">
        <f t="shared" si="100"/>
        <v>#N/A</v>
      </c>
      <c r="BE118" s="28" t="e">
        <f t="shared" si="101"/>
        <v>#N/A</v>
      </c>
      <c r="BF118" s="28" t="e">
        <f t="shared" si="102"/>
        <v>#DIV/0!</v>
      </c>
      <c r="BG118" s="28" t="e">
        <f t="shared" si="103"/>
        <v>#DIV/0!</v>
      </c>
      <c r="BH118" s="28" t="e">
        <f t="shared" si="104"/>
        <v>#DIV/0!</v>
      </c>
      <c r="BI118" s="28" t="e">
        <f t="shared" si="105"/>
        <v>#DIV/0!</v>
      </c>
    </row>
    <row r="119" spans="2:61" ht="75" customHeight="1" x14ac:dyDescent="0.25">
      <c r="B119" s="17"/>
      <c r="C119" s="17"/>
      <c r="D119" s="17"/>
      <c r="E119" s="17"/>
      <c r="F119" s="17"/>
      <c r="G119" s="17"/>
      <c r="H119" s="65"/>
      <c r="I119" s="17"/>
      <c r="J119" s="17"/>
      <c r="K119" s="17"/>
      <c r="L119" s="17"/>
      <c r="M119" s="17" t="e">
        <f t="shared" si="71"/>
        <v>#DIV/0!</v>
      </c>
      <c r="N119" s="17"/>
      <c r="O119" s="17"/>
      <c r="P119" s="17"/>
      <c r="Q119" s="17"/>
      <c r="R119" s="17"/>
      <c r="S119" s="17"/>
      <c r="U119" s="17">
        <f t="shared" si="72"/>
        <v>0</v>
      </c>
      <c r="V119" s="17" t="e">
        <f t="shared" si="73"/>
        <v>#DIV/0!</v>
      </c>
      <c r="W119" s="30" t="e">
        <f t="shared" si="74"/>
        <v>#DIV/0!</v>
      </c>
      <c r="X119" s="17" t="e">
        <f t="shared" si="75"/>
        <v>#N/A</v>
      </c>
      <c r="Y119" s="17" t="e">
        <f t="shared" si="76"/>
        <v>#DIV/0!</v>
      </c>
      <c r="Z119" s="17" t="e">
        <f t="shared" si="77"/>
        <v>#N/A</v>
      </c>
      <c r="AA119" s="43" t="e">
        <f t="shared" si="78"/>
        <v>#DIV/0!</v>
      </c>
      <c r="AG119" s="31">
        <f t="shared" si="79"/>
        <v>0</v>
      </c>
      <c r="AH119" s="31">
        <f t="shared" si="80"/>
        <v>0</v>
      </c>
      <c r="AI119" s="28" t="e">
        <f t="shared" si="81"/>
        <v>#N/A</v>
      </c>
      <c r="AJ119" s="28" t="e">
        <f t="shared" si="82"/>
        <v>#N/A</v>
      </c>
      <c r="AK119" s="28" t="e">
        <f t="shared" si="83"/>
        <v>#N/A</v>
      </c>
      <c r="AL119" s="28" t="e">
        <f t="shared" si="84"/>
        <v>#N/A</v>
      </c>
      <c r="AM119" s="28" t="e">
        <f t="shared" si="85"/>
        <v>#N/A</v>
      </c>
      <c r="AN119" s="28" t="e">
        <f t="shared" si="86"/>
        <v>#N/A</v>
      </c>
      <c r="AO119" s="28" t="e">
        <f t="shared" si="87"/>
        <v>#N/A</v>
      </c>
      <c r="AP119" s="28" t="e">
        <f t="shared" si="88"/>
        <v>#N/A</v>
      </c>
      <c r="AQ119" s="28" t="e">
        <f t="shared" si="89"/>
        <v>#N/A</v>
      </c>
      <c r="AR119" s="28" t="e">
        <f t="shared" si="90"/>
        <v>#N/A</v>
      </c>
      <c r="AS119" s="28" t="e">
        <f t="shared" si="91"/>
        <v>#N/A</v>
      </c>
      <c r="AT119" s="28" t="e">
        <f t="shared" si="92"/>
        <v>#N/A</v>
      </c>
      <c r="AV119" s="31" t="e">
        <f>IF(O119&gt;MAX($V$4:$AE$4),MAX($V$4:$AE$4)-0.1,IF(O119&lt;MIN($V$4:$AE101),MIN($V$4:$AE$4)+0.1,O119))</f>
        <v>#DIV/0!</v>
      </c>
      <c r="AW119" s="31">
        <f t="shared" si="93"/>
        <v>0</v>
      </c>
      <c r="AX119" s="28" t="e">
        <f t="shared" si="94"/>
        <v>#DIV/0!</v>
      </c>
      <c r="AY119" s="28" t="e">
        <f t="shared" si="95"/>
        <v>#DIV/0!</v>
      </c>
      <c r="AZ119" s="28" t="e">
        <f t="shared" si="96"/>
        <v>#DIV/0!</v>
      </c>
      <c r="BA119" s="28" t="e">
        <f t="shared" si="97"/>
        <v>#DIV/0!</v>
      </c>
      <c r="BB119" s="28" t="e">
        <f t="shared" si="98"/>
        <v>#N/A</v>
      </c>
      <c r="BC119" s="28" t="e">
        <f t="shared" si="99"/>
        <v>#N/A</v>
      </c>
      <c r="BD119" s="28" t="e">
        <f t="shared" si="100"/>
        <v>#N/A</v>
      </c>
      <c r="BE119" s="28" t="e">
        <f t="shared" si="101"/>
        <v>#N/A</v>
      </c>
      <c r="BF119" s="28" t="e">
        <f t="shared" si="102"/>
        <v>#DIV/0!</v>
      </c>
      <c r="BG119" s="28" t="e">
        <f t="shared" si="103"/>
        <v>#DIV/0!</v>
      </c>
      <c r="BH119" s="28" t="e">
        <f t="shared" si="104"/>
        <v>#DIV/0!</v>
      </c>
      <c r="BI119" s="28" t="e">
        <f t="shared" si="105"/>
        <v>#DIV/0!</v>
      </c>
    </row>
    <row r="120" spans="2:61" ht="75" customHeight="1" x14ac:dyDescent="0.25">
      <c r="B120" s="17"/>
      <c r="C120" s="17"/>
      <c r="D120" s="17"/>
      <c r="E120" s="17"/>
      <c r="F120" s="17"/>
      <c r="G120" s="17"/>
      <c r="H120" s="65"/>
      <c r="I120" s="17"/>
      <c r="J120" s="17"/>
      <c r="K120" s="17"/>
      <c r="L120" s="17"/>
      <c r="M120" s="17" t="e">
        <f t="shared" si="71"/>
        <v>#DIV/0!</v>
      </c>
      <c r="N120" s="17"/>
      <c r="O120" s="17"/>
      <c r="P120" s="17"/>
      <c r="Q120" s="17"/>
      <c r="R120" s="17"/>
      <c r="S120" s="17"/>
      <c r="U120" s="17">
        <f t="shared" si="72"/>
        <v>0</v>
      </c>
      <c r="V120" s="17" t="e">
        <f t="shared" si="73"/>
        <v>#DIV/0!</v>
      </c>
      <c r="W120" s="30" t="e">
        <f t="shared" si="74"/>
        <v>#DIV/0!</v>
      </c>
      <c r="X120" s="17" t="e">
        <f t="shared" si="75"/>
        <v>#N/A</v>
      </c>
      <c r="Y120" s="17" t="e">
        <f t="shared" si="76"/>
        <v>#DIV/0!</v>
      </c>
      <c r="Z120" s="17" t="e">
        <f t="shared" si="77"/>
        <v>#N/A</v>
      </c>
      <c r="AA120" s="43" t="e">
        <f t="shared" si="78"/>
        <v>#DIV/0!</v>
      </c>
      <c r="AG120" s="31">
        <f t="shared" si="79"/>
        <v>0</v>
      </c>
      <c r="AH120" s="31">
        <f t="shared" si="80"/>
        <v>0</v>
      </c>
      <c r="AI120" s="28" t="e">
        <f t="shared" si="81"/>
        <v>#N/A</v>
      </c>
      <c r="AJ120" s="28" t="e">
        <f t="shared" si="82"/>
        <v>#N/A</v>
      </c>
      <c r="AK120" s="28" t="e">
        <f t="shared" si="83"/>
        <v>#N/A</v>
      </c>
      <c r="AL120" s="28" t="e">
        <f t="shared" si="84"/>
        <v>#N/A</v>
      </c>
      <c r="AM120" s="28" t="e">
        <f t="shared" si="85"/>
        <v>#N/A</v>
      </c>
      <c r="AN120" s="28" t="e">
        <f t="shared" si="86"/>
        <v>#N/A</v>
      </c>
      <c r="AO120" s="28" t="e">
        <f t="shared" si="87"/>
        <v>#N/A</v>
      </c>
      <c r="AP120" s="28" t="e">
        <f t="shared" si="88"/>
        <v>#N/A</v>
      </c>
      <c r="AQ120" s="28" t="e">
        <f t="shared" si="89"/>
        <v>#N/A</v>
      </c>
      <c r="AR120" s="28" t="e">
        <f t="shared" si="90"/>
        <v>#N/A</v>
      </c>
      <c r="AS120" s="28" t="e">
        <f t="shared" si="91"/>
        <v>#N/A</v>
      </c>
      <c r="AT120" s="28" t="e">
        <f t="shared" si="92"/>
        <v>#N/A</v>
      </c>
      <c r="AV120" s="31" t="e">
        <f>IF(O120&gt;MAX($V$4:$AE$4),MAX($V$4:$AE$4)-0.1,IF(O120&lt;MIN($V$4:$AE102),MIN($V$4:$AE$4)+0.1,O120))</f>
        <v>#DIV/0!</v>
      </c>
      <c r="AW120" s="31">
        <f t="shared" si="93"/>
        <v>0</v>
      </c>
      <c r="AX120" s="28" t="e">
        <f t="shared" si="94"/>
        <v>#DIV/0!</v>
      </c>
      <c r="AY120" s="28" t="e">
        <f t="shared" si="95"/>
        <v>#DIV/0!</v>
      </c>
      <c r="AZ120" s="28" t="e">
        <f t="shared" si="96"/>
        <v>#DIV/0!</v>
      </c>
      <c r="BA120" s="28" t="e">
        <f t="shared" si="97"/>
        <v>#DIV/0!</v>
      </c>
      <c r="BB120" s="28" t="e">
        <f t="shared" si="98"/>
        <v>#N/A</v>
      </c>
      <c r="BC120" s="28" t="e">
        <f t="shared" si="99"/>
        <v>#N/A</v>
      </c>
      <c r="BD120" s="28" t="e">
        <f t="shared" si="100"/>
        <v>#N/A</v>
      </c>
      <c r="BE120" s="28" t="e">
        <f t="shared" si="101"/>
        <v>#N/A</v>
      </c>
      <c r="BF120" s="28" t="e">
        <f t="shared" si="102"/>
        <v>#DIV/0!</v>
      </c>
      <c r="BG120" s="28" t="e">
        <f t="shared" si="103"/>
        <v>#DIV/0!</v>
      </c>
      <c r="BH120" s="28" t="e">
        <f t="shared" si="104"/>
        <v>#DIV/0!</v>
      </c>
      <c r="BI120" s="28" t="e">
        <f t="shared" si="105"/>
        <v>#DIV/0!</v>
      </c>
    </row>
    <row r="121" spans="2:61" ht="75" customHeight="1" x14ac:dyDescent="0.25">
      <c r="B121" s="17"/>
      <c r="C121" s="17"/>
      <c r="D121" s="17"/>
      <c r="E121" s="17"/>
      <c r="F121" s="17"/>
      <c r="G121" s="17"/>
      <c r="H121" s="65"/>
      <c r="I121" s="17"/>
      <c r="J121" s="17"/>
      <c r="K121" s="17"/>
      <c r="L121" s="17"/>
      <c r="M121" s="17" t="e">
        <f t="shared" si="71"/>
        <v>#DIV/0!</v>
      </c>
      <c r="N121" s="17"/>
      <c r="O121" s="17"/>
      <c r="P121" s="17"/>
      <c r="Q121" s="17"/>
      <c r="R121" s="17"/>
      <c r="S121" s="17"/>
      <c r="U121" s="17">
        <f t="shared" si="72"/>
        <v>0</v>
      </c>
      <c r="V121" s="17" t="e">
        <f t="shared" si="73"/>
        <v>#DIV/0!</v>
      </c>
      <c r="W121" s="30" t="e">
        <f t="shared" si="74"/>
        <v>#DIV/0!</v>
      </c>
      <c r="X121" s="17" t="e">
        <f t="shared" si="75"/>
        <v>#N/A</v>
      </c>
      <c r="Y121" s="17" t="e">
        <f t="shared" si="76"/>
        <v>#DIV/0!</v>
      </c>
      <c r="Z121" s="17" t="e">
        <f t="shared" si="77"/>
        <v>#N/A</v>
      </c>
      <c r="AA121" s="43" t="e">
        <f t="shared" si="78"/>
        <v>#DIV/0!</v>
      </c>
      <c r="AG121" s="31">
        <f t="shared" si="79"/>
        <v>0</v>
      </c>
      <c r="AH121" s="31">
        <f t="shared" si="80"/>
        <v>0</v>
      </c>
      <c r="AI121" s="28" t="e">
        <f t="shared" si="81"/>
        <v>#N/A</v>
      </c>
      <c r="AJ121" s="28" t="e">
        <f t="shared" si="82"/>
        <v>#N/A</v>
      </c>
      <c r="AK121" s="28" t="e">
        <f t="shared" si="83"/>
        <v>#N/A</v>
      </c>
      <c r="AL121" s="28" t="e">
        <f t="shared" si="84"/>
        <v>#N/A</v>
      </c>
      <c r="AM121" s="28" t="e">
        <f t="shared" si="85"/>
        <v>#N/A</v>
      </c>
      <c r="AN121" s="28" t="e">
        <f t="shared" si="86"/>
        <v>#N/A</v>
      </c>
      <c r="AO121" s="28" t="e">
        <f t="shared" si="87"/>
        <v>#N/A</v>
      </c>
      <c r="AP121" s="28" t="e">
        <f t="shared" si="88"/>
        <v>#N/A</v>
      </c>
      <c r="AQ121" s="28" t="e">
        <f t="shared" si="89"/>
        <v>#N/A</v>
      </c>
      <c r="AR121" s="28" t="e">
        <f t="shared" si="90"/>
        <v>#N/A</v>
      </c>
      <c r="AS121" s="28" t="e">
        <f t="shared" si="91"/>
        <v>#N/A</v>
      </c>
      <c r="AT121" s="28" t="e">
        <f t="shared" si="92"/>
        <v>#N/A</v>
      </c>
      <c r="AV121" s="31" t="e">
        <f>IF(O121&gt;MAX($V$4:$AE$4),MAX($V$4:$AE$4)-0.1,IF(O121&lt;MIN($V$4:$AE103),MIN($V$4:$AE$4)+0.1,O121))</f>
        <v>#DIV/0!</v>
      </c>
      <c r="AW121" s="31">
        <f t="shared" si="93"/>
        <v>0</v>
      </c>
      <c r="AX121" s="28" t="e">
        <f t="shared" si="94"/>
        <v>#DIV/0!</v>
      </c>
      <c r="AY121" s="28" t="e">
        <f t="shared" si="95"/>
        <v>#DIV/0!</v>
      </c>
      <c r="AZ121" s="28" t="e">
        <f t="shared" si="96"/>
        <v>#DIV/0!</v>
      </c>
      <c r="BA121" s="28" t="e">
        <f t="shared" si="97"/>
        <v>#DIV/0!</v>
      </c>
      <c r="BB121" s="28" t="e">
        <f t="shared" si="98"/>
        <v>#N/A</v>
      </c>
      <c r="BC121" s="28" t="e">
        <f t="shared" si="99"/>
        <v>#N/A</v>
      </c>
      <c r="BD121" s="28" t="e">
        <f t="shared" si="100"/>
        <v>#N/A</v>
      </c>
      <c r="BE121" s="28" t="e">
        <f t="shared" si="101"/>
        <v>#N/A</v>
      </c>
      <c r="BF121" s="28" t="e">
        <f t="shared" si="102"/>
        <v>#DIV/0!</v>
      </c>
      <c r="BG121" s="28" t="e">
        <f t="shared" si="103"/>
        <v>#DIV/0!</v>
      </c>
      <c r="BH121" s="28" t="e">
        <f t="shared" si="104"/>
        <v>#DIV/0!</v>
      </c>
      <c r="BI121" s="28" t="e">
        <f t="shared" si="105"/>
        <v>#DIV/0!</v>
      </c>
    </row>
    <row r="122" spans="2:61" ht="75" customHeight="1" x14ac:dyDescent="0.25">
      <c r="B122" s="17"/>
      <c r="C122" s="17"/>
      <c r="D122" s="17"/>
      <c r="E122" s="17"/>
      <c r="F122" s="17"/>
      <c r="G122" s="17"/>
      <c r="H122" s="65"/>
      <c r="I122" s="17"/>
      <c r="J122" s="17"/>
      <c r="K122" s="17"/>
      <c r="L122" s="17"/>
      <c r="M122" s="17" t="e">
        <f t="shared" si="71"/>
        <v>#DIV/0!</v>
      </c>
      <c r="N122" s="17"/>
      <c r="O122" s="17"/>
      <c r="P122" s="17"/>
      <c r="Q122" s="17"/>
      <c r="R122" s="17"/>
      <c r="S122" s="17"/>
      <c r="U122" s="17">
        <f t="shared" si="72"/>
        <v>0</v>
      </c>
      <c r="V122" s="17" t="e">
        <f t="shared" si="73"/>
        <v>#DIV/0!</v>
      </c>
      <c r="W122" s="30" t="e">
        <f t="shared" si="74"/>
        <v>#DIV/0!</v>
      </c>
      <c r="X122" s="17" t="e">
        <f t="shared" si="75"/>
        <v>#N/A</v>
      </c>
      <c r="Y122" s="17" t="e">
        <f t="shared" si="76"/>
        <v>#DIV/0!</v>
      </c>
      <c r="Z122" s="17" t="e">
        <f t="shared" si="77"/>
        <v>#N/A</v>
      </c>
      <c r="AA122" s="43" t="e">
        <f t="shared" si="78"/>
        <v>#DIV/0!</v>
      </c>
      <c r="AG122" s="31">
        <f t="shared" si="79"/>
        <v>0</v>
      </c>
      <c r="AH122" s="31">
        <f t="shared" si="80"/>
        <v>0</v>
      </c>
      <c r="AI122" s="28" t="e">
        <f t="shared" si="81"/>
        <v>#N/A</v>
      </c>
      <c r="AJ122" s="28" t="e">
        <f t="shared" si="82"/>
        <v>#N/A</v>
      </c>
      <c r="AK122" s="28" t="e">
        <f t="shared" si="83"/>
        <v>#N/A</v>
      </c>
      <c r="AL122" s="28" t="e">
        <f t="shared" si="84"/>
        <v>#N/A</v>
      </c>
      <c r="AM122" s="28" t="e">
        <f t="shared" si="85"/>
        <v>#N/A</v>
      </c>
      <c r="AN122" s="28" t="e">
        <f t="shared" si="86"/>
        <v>#N/A</v>
      </c>
      <c r="AO122" s="28" t="e">
        <f t="shared" si="87"/>
        <v>#N/A</v>
      </c>
      <c r="AP122" s="28" t="e">
        <f t="shared" si="88"/>
        <v>#N/A</v>
      </c>
      <c r="AQ122" s="28" t="e">
        <f t="shared" si="89"/>
        <v>#N/A</v>
      </c>
      <c r="AR122" s="28" t="e">
        <f t="shared" si="90"/>
        <v>#N/A</v>
      </c>
      <c r="AS122" s="28" t="e">
        <f t="shared" si="91"/>
        <v>#N/A</v>
      </c>
      <c r="AT122" s="28" t="e">
        <f t="shared" si="92"/>
        <v>#N/A</v>
      </c>
      <c r="AV122" s="31" t="e">
        <f>IF(O122&gt;MAX($V$4:$AE$4),MAX($V$4:$AE$4)-0.1,IF(O122&lt;MIN($V$4:$AE104),MIN($V$4:$AE$4)+0.1,O122))</f>
        <v>#DIV/0!</v>
      </c>
      <c r="AW122" s="31">
        <f t="shared" si="93"/>
        <v>0</v>
      </c>
      <c r="AX122" s="28" t="e">
        <f t="shared" si="94"/>
        <v>#DIV/0!</v>
      </c>
      <c r="AY122" s="28" t="e">
        <f t="shared" si="95"/>
        <v>#DIV/0!</v>
      </c>
      <c r="AZ122" s="28" t="e">
        <f t="shared" si="96"/>
        <v>#DIV/0!</v>
      </c>
      <c r="BA122" s="28" t="e">
        <f t="shared" si="97"/>
        <v>#DIV/0!</v>
      </c>
      <c r="BB122" s="28" t="e">
        <f t="shared" si="98"/>
        <v>#N/A</v>
      </c>
      <c r="BC122" s="28" t="e">
        <f t="shared" si="99"/>
        <v>#N/A</v>
      </c>
      <c r="BD122" s="28" t="e">
        <f t="shared" si="100"/>
        <v>#N/A</v>
      </c>
      <c r="BE122" s="28" t="e">
        <f t="shared" si="101"/>
        <v>#N/A</v>
      </c>
      <c r="BF122" s="28" t="e">
        <f t="shared" si="102"/>
        <v>#DIV/0!</v>
      </c>
      <c r="BG122" s="28" t="e">
        <f t="shared" si="103"/>
        <v>#DIV/0!</v>
      </c>
      <c r="BH122" s="28" t="e">
        <f t="shared" si="104"/>
        <v>#DIV/0!</v>
      </c>
      <c r="BI122" s="28" t="e">
        <f t="shared" si="105"/>
        <v>#DIV/0!</v>
      </c>
    </row>
    <row r="123" spans="2:61" ht="75" customHeight="1" x14ac:dyDescent="0.25">
      <c r="B123" s="17"/>
      <c r="C123" s="17"/>
      <c r="D123" s="17"/>
      <c r="E123" s="17"/>
      <c r="F123" s="17"/>
      <c r="G123" s="17"/>
      <c r="H123" s="65"/>
      <c r="I123" s="17"/>
      <c r="J123" s="17"/>
      <c r="K123" s="17"/>
      <c r="L123" s="17"/>
      <c r="M123" s="17" t="e">
        <f t="shared" si="71"/>
        <v>#DIV/0!</v>
      </c>
      <c r="N123" s="17"/>
      <c r="O123" s="17"/>
      <c r="P123" s="17"/>
      <c r="Q123" s="17"/>
      <c r="R123" s="17"/>
      <c r="S123" s="17"/>
      <c r="U123" s="17">
        <f t="shared" si="72"/>
        <v>0</v>
      </c>
      <c r="V123" s="17" t="e">
        <f t="shared" si="73"/>
        <v>#DIV/0!</v>
      </c>
      <c r="W123" s="30" t="e">
        <f t="shared" si="74"/>
        <v>#DIV/0!</v>
      </c>
      <c r="X123" s="17" t="e">
        <f t="shared" si="75"/>
        <v>#N/A</v>
      </c>
      <c r="Y123" s="17" t="e">
        <f t="shared" si="76"/>
        <v>#DIV/0!</v>
      </c>
      <c r="Z123" s="17" t="e">
        <f t="shared" si="77"/>
        <v>#N/A</v>
      </c>
      <c r="AA123" s="43" t="e">
        <f t="shared" si="78"/>
        <v>#DIV/0!</v>
      </c>
      <c r="AG123" s="31">
        <f t="shared" si="79"/>
        <v>0</v>
      </c>
      <c r="AH123" s="31">
        <f t="shared" si="80"/>
        <v>0</v>
      </c>
      <c r="AI123" s="28" t="e">
        <f t="shared" si="81"/>
        <v>#N/A</v>
      </c>
      <c r="AJ123" s="28" t="e">
        <f t="shared" si="82"/>
        <v>#N/A</v>
      </c>
      <c r="AK123" s="28" t="e">
        <f t="shared" si="83"/>
        <v>#N/A</v>
      </c>
      <c r="AL123" s="28" t="e">
        <f t="shared" si="84"/>
        <v>#N/A</v>
      </c>
      <c r="AM123" s="28" t="e">
        <f t="shared" si="85"/>
        <v>#N/A</v>
      </c>
      <c r="AN123" s="28" t="e">
        <f t="shared" si="86"/>
        <v>#N/A</v>
      </c>
      <c r="AO123" s="28" t="e">
        <f t="shared" si="87"/>
        <v>#N/A</v>
      </c>
      <c r="AP123" s="28" t="e">
        <f t="shared" si="88"/>
        <v>#N/A</v>
      </c>
      <c r="AQ123" s="28" t="e">
        <f t="shared" si="89"/>
        <v>#N/A</v>
      </c>
      <c r="AR123" s="28" t="e">
        <f t="shared" si="90"/>
        <v>#N/A</v>
      </c>
      <c r="AS123" s="28" t="e">
        <f t="shared" si="91"/>
        <v>#N/A</v>
      </c>
      <c r="AT123" s="28" t="e">
        <f t="shared" si="92"/>
        <v>#N/A</v>
      </c>
      <c r="AV123" s="31" t="e">
        <f>IF(O123&gt;MAX($V$4:$AE$4),MAX($V$4:$AE$4)-0.1,IF(O123&lt;MIN($V$4:$AE105),MIN($V$4:$AE$4)+0.1,O123))</f>
        <v>#DIV/0!</v>
      </c>
      <c r="AW123" s="31">
        <f t="shared" si="93"/>
        <v>0</v>
      </c>
      <c r="AX123" s="28" t="e">
        <f t="shared" si="94"/>
        <v>#DIV/0!</v>
      </c>
      <c r="AY123" s="28" t="e">
        <f t="shared" si="95"/>
        <v>#DIV/0!</v>
      </c>
      <c r="AZ123" s="28" t="e">
        <f t="shared" si="96"/>
        <v>#DIV/0!</v>
      </c>
      <c r="BA123" s="28" t="e">
        <f t="shared" si="97"/>
        <v>#DIV/0!</v>
      </c>
      <c r="BB123" s="28" t="e">
        <f t="shared" si="98"/>
        <v>#N/A</v>
      </c>
      <c r="BC123" s="28" t="e">
        <f t="shared" si="99"/>
        <v>#N/A</v>
      </c>
      <c r="BD123" s="28" t="e">
        <f t="shared" si="100"/>
        <v>#N/A</v>
      </c>
      <c r="BE123" s="28" t="e">
        <f t="shared" si="101"/>
        <v>#N/A</v>
      </c>
      <c r="BF123" s="28" t="e">
        <f t="shared" si="102"/>
        <v>#DIV/0!</v>
      </c>
      <c r="BG123" s="28" t="e">
        <f t="shared" si="103"/>
        <v>#DIV/0!</v>
      </c>
      <c r="BH123" s="28" t="e">
        <f t="shared" si="104"/>
        <v>#DIV/0!</v>
      </c>
      <c r="BI123" s="28" t="e">
        <f t="shared" si="105"/>
        <v>#DIV/0!</v>
      </c>
    </row>
    <row r="124" spans="2:61" ht="75" customHeight="1" x14ac:dyDescent="0.25">
      <c r="B124" s="17"/>
      <c r="C124" s="17"/>
      <c r="D124" s="17"/>
      <c r="E124" s="17"/>
      <c r="F124" s="17"/>
      <c r="G124" s="17"/>
      <c r="H124" s="65"/>
      <c r="I124" s="17"/>
      <c r="J124" s="17"/>
      <c r="K124" s="17"/>
      <c r="L124" s="17"/>
      <c r="M124" s="17" t="e">
        <f t="shared" si="71"/>
        <v>#DIV/0!</v>
      </c>
      <c r="N124" s="17"/>
      <c r="O124" s="17"/>
      <c r="P124" s="17"/>
      <c r="Q124" s="17"/>
      <c r="R124" s="17"/>
      <c r="S124" s="17"/>
      <c r="U124" s="17">
        <f t="shared" si="72"/>
        <v>0</v>
      </c>
      <c r="V124" s="17" t="e">
        <f t="shared" si="73"/>
        <v>#DIV/0!</v>
      </c>
      <c r="W124" s="30" t="e">
        <f t="shared" si="74"/>
        <v>#DIV/0!</v>
      </c>
      <c r="X124" s="17" t="e">
        <f t="shared" si="75"/>
        <v>#N/A</v>
      </c>
      <c r="Y124" s="17" t="e">
        <f t="shared" si="76"/>
        <v>#DIV/0!</v>
      </c>
      <c r="Z124" s="17" t="e">
        <f t="shared" si="77"/>
        <v>#N/A</v>
      </c>
      <c r="AA124" s="43" t="e">
        <f t="shared" si="78"/>
        <v>#DIV/0!</v>
      </c>
      <c r="AG124" s="31">
        <f t="shared" si="79"/>
        <v>0</v>
      </c>
      <c r="AH124" s="31">
        <f t="shared" si="80"/>
        <v>0</v>
      </c>
      <c r="AI124" s="28" t="e">
        <f t="shared" si="81"/>
        <v>#N/A</v>
      </c>
      <c r="AJ124" s="28" t="e">
        <f t="shared" si="82"/>
        <v>#N/A</v>
      </c>
      <c r="AK124" s="28" t="e">
        <f t="shared" si="83"/>
        <v>#N/A</v>
      </c>
      <c r="AL124" s="28" t="e">
        <f t="shared" si="84"/>
        <v>#N/A</v>
      </c>
      <c r="AM124" s="28" t="e">
        <f t="shared" si="85"/>
        <v>#N/A</v>
      </c>
      <c r="AN124" s="28" t="e">
        <f t="shared" si="86"/>
        <v>#N/A</v>
      </c>
      <c r="AO124" s="28" t="e">
        <f t="shared" si="87"/>
        <v>#N/A</v>
      </c>
      <c r="AP124" s="28" t="e">
        <f t="shared" si="88"/>
        <v>#N/A</v>
      </c>
      <c r="AQ124" s="28" t="e">
        <f t="shared" si="89"/>
        <v>#N/A</v>
      </c>
      <c r="AR124" s="28" t="e">
        <f t="shared" si="90"/>
        <v>#N/A</v>
      </c>
      <c r="AS124" s="28" t="e">
        <f t="shared" si="91"/>
        <v>#N/A</v>
      </c>
      <c r="AT124" s="28" t="e">
        <f t="shared" si="92"/>
        <v>#N/A</v>
      </c>
      <c r="AV124" s="31" t="e">
        <f>IF(O124&gt;MAX($V$4:$AE$4),MAX($V$4:$AE$4)-0.1,IF(O124&lt;MIN($V$4:$AE106),MIN($V$4:$AE$4)+0.1,O124))</f>
        <v>#DIV/0!</v>
      </c>
      <c r="AW124" s="31">
        <f t="shared" si="93"/>
        <v>0</v>
      </c>
      <c r="AX124" s="28" t="e">
        <f t="shared" si="94"/>
        <v>#DIV/0!</v>
      </c>
      <c r="AY124" s="28" t="e">
        <f t="shared" si="95"/>
        <v>#DIV/0!</v>
      </c>
      <c r="AZ124" s="28" t="e">
        <f t="shared" si="96"/>
        <v>#DIV/0!</v>
      </c>
      <c r="BA124" s="28" t="e">
        <f t="shared" si="97"/>
        <v>#DIV/0!</v>
      </c>
      <c r="BB124" s="28" t="e">
        <f t="shared" si="98"/>
        <v>#N/A</v>
      </c>
      <c r="BC124" s="28" t="e">
        <f t="shared" si="99"/>
        <v>#N/A</v>
      </c>
      <c r="BD124" s="28" t="e">
        <f t="shared" si="100"/>
        <v>#N/A</v>
      </c>
      <c r="BE124" s="28" t="e">
        <f t="shared" si="101"/>
        <v>#N/A</v>
      </c>
      <c r="BF124" s="28" t="e">
        <f t="shared" si="102"/>
        <v>#DIV/0!</v>
      </c>
      <c r="BG124" s="28" t="e">
        <f t="shared" si="103"/>
        <v>#DIV/0!</v>
      </c>
      <c r="BH124" s="28" t="e">
        <f t="shared" si="104"/>
        <v>#DIV/0!</v>
      </c>
      <c r="BI124" s="28" t="e">
        <f t="shared" si="105"/>
        <v>#DIV/0!</v>
      </c>
    </row>
    <row r="125" spans="2:61" ht="75" customHeight="1" x14ac:dyDescent="0.25">
      <c r="B125" s="17"/>
      <c r="C125" s="17"/>
      <c r="D125" s="17"/>
      <c r="E125" s="17"/>
      <c r="F125" s="17"/>
      <c r="G125" s="17"/>
      <c r="H125" s="65"/>
      <c r="I125" s="17"/>
      <c r="J125" s="17"/>
      <c r="K125" s="17"/>
      <c r="L125" s="17"/>
      <c r="M125" s="17" t="e">
        <f t="shared" si="71"/>
        <v>#DIV/0!</v>
      </c>
      <c r="N125" s="17"/>
      <c r="O125" s="17"/>
      <c r="P125" s="17"/>
      <c r="Q125" s="17"/>
      <c r="R125" s="17"/>
      <c r="S125" s="17"/>
      <c r="U125" s="17">
        <f t="shared" si="72"/>
        <v>0</v>
      </c>
      <c r="V125" s="17" t="e">
        <f t="shared" si="73"/>
        <v>#DIV/0!</v>
      </c>
      <c r="W125" s="30" t="e">
        <f t="shared" si="74"/>
        <v>#DIV/0!</v>
      </c>
      <c r="X125" s="17" t="e">
        <f t="shared" si="75"/>
        <v>#N/A</v>
      </c>
      <c r="Y125" s="17" t="e">
        <f t="shared" si="76"/>
        <v>#DIV/0!</v>
      </c>
      <c r="Z125" s="17" t="e">
        <f t="shared" si="77"/>
        <v>#N/A</v>
      </c>
      <c r="AA125" s="43" t="e">
        <f t="shared" si="78"/>
        <v>#DIV/0!</v>
      </c>
      <c r="AG125" s="31">
        <f t="shared" si="79"/>
        <v>0</v>
      </c>
      <c r="AH125" s="31">
        <f t="shared" si="80"/>
        <v>0</v>
      </c>
      <c r="AI125" s="28" t="e">
        <f t="shared" si="81"/>
        <v>#N/A</v>
      </c>
      <c r="AJ125" s="28" t="e">
        <f t="shared" si="82"/>
        <v>#N/A</v>
      </c>
      <c r="AK125" s="28" t="e">
        <f t="shared" si="83"/>
        <v>#N/A</v>
      </c>
      <c r="AL125" s="28" t="e">
        <f t="shared" si="84"/>
        <v>#N/A</v>
      </c>
      <c r="AM125" s="28" t="e">
        <f t="shared" si="85"/>
        <v>#N/A</v>
      </c>
      <c r="AN125" s="28" t="e">
        <f t="shared" si="86"/>
        <v>#N/A</v>
      </c>
      <c r="AO125" s="28" t="e">
        <f t="shared" si="87"/>
        <v>#N/A</v>
      </c>
      <c r="AP125" s="28" t="e">
        <f t="shared" si="88"/>
        <v>#N/A</v>
      </c>
      <c r="AQ125" s="28" t="e">
        <f t="shared" si="89"/>
        <v>#N/A</v>
      </c>
      <c r="AR125" s="28" t="e">
        <f t="shared" si="90"/>
        <v>#N/A</v>
      </c>
      <c r="AS125" s="28" t="e">
        <f t="shared" si="91"/>
        <v>#N/A</v>
      </c>
      <c r="AT125" s="28" t="e">
        <f t="shared" si="92"/>
        <v>#N/A</v>
      </c>
      <c r="AV125" s="31" t="e">
        <f>IF(O125&gt;MAX($V$4:$AE$4),MAX($V$4:$AE$4)-0.1,IF(O125&lt;MIN($V$4:$AE107),MIN($V$4:$AE$4)+0.1,O125))</f>
        <v>#DIV/0!</v>
      </c>
      <c r="AW125" s="31">
        <f t="shared" si="93"/>
        <v>0</v>
      </c>
      <c r="AX125" s="28" t="e">
        <f t="shared" si="94"/>
        <v>#DIV/0!</v>
      </c>
      <c r="AY125" s="28" t="e">
        <f t="shared" si="95"/>
        <v>#DIV/0!</v>
      </c>
      <c r="AZ125" s="28" t="e">
        <f t="shared" si="96"/>
        <v>#DIV/0!</v>
      </c>
      <c r="BA125" s="28" t="e">
        <f t="shared" si="97"/>
        <v>#DIV/0!</v>
      </c>
      <c r="BB125" s="28" t="e">
        <f t="shared" si="98"/>
        <v>#N/A</v>
      </c>
      <c r="BC125" s="28" t="e">
        <f t="shared" si="99"/>
        <v>#N/A</v>
      </c>
      <c r="BD125" s="28" t="e">
        <f t="shared" si="100"/>
        <v>#N/A</v>
      </c>
      <c r="BE125" s="28" t="e">
        <f t="shared" si="101"/>
        <v>#N/A</v>
      </c>
      <c r="BF125" s="28" t="e">
        <f t="shared" si="102"/>
        <v>#DIV/0!</v>
      </c>
      <c r="BG125" s="28" t="e">
        <f t="shared" si="103"/>
        <v>#DIV/0!</v>
      </c>
      <c r="BH125" s="28" t="e">
        <f t="shared" si="104"/>
        <v>#DIV/0!</v>
      </c>
      <c r="BI125" s="28" t="e">
        <f t="shared" si="105"/>
        <v>#DIV/0!</v>
      </c>
    </row>
    <row r="126" spans="2:61" ht="75" customHeight="1" x14ac:dyDescent="0.25">
      <c r="B126" s="17"/>
      <c r="C126" s="17"/>
      <c r="D126" s="17"/>
      <c r="E126" s="17"/>
      <c r="F126" s="17"/>
      <c r="G126" s="17"/>
      <c r="H126" s="65"/>
      <c r="I126" s="17"/>
      <c r="J126" s="17"/>
      <c r="K126" s="17"/>
      <c r="L126" s="17"/>
      <c r="M126" s="17" t="e">
        <f t="shared" si="71"/>
        <v>#DIV/0!</v>
      </c>
      <c r="N126" s="17"/>
      <c r="O126" s="17"/>
      <c r="P126" s="17"/>
      <c r="Q126" s="17"/>
      <c r="R126" s="17"/>
      <c r="S126" s="17"/>
      <c r="U126" s="17">
        <f t="shared" si="72"/>
        <v>0</v>
      </c>
      <c r="V126" s="17" t="e">
        <f t="shared" si="73"/>
        <v>#DIV/0!</v>
      </c>
      <c r="W126" s="30" t="e">
        <f t="shared" si="74"/>
        <v>#DIV/0!</v>
      </c>
      <c r="X126" s="17" t="e">
        <f t="shared" si="75"/>
        <v>#N/A</v>
      </c>
      <c r="Y126" s="17" t="e">
        <f t="shared" si="76"/>
        <v>#DIV/0!</v>
      </c>
      <c r="Z126" s="17" t="e">
        <f t="shared" si="77"/>
        <v>#N/A</v>
      </c>
      <c r="AA126" s="43" t="e">
        <f t="shared" si="78"/>
        <v>#DIV/0!</v>
      </c>
      <c r="AG126" s="31">
        <f t="shared" si="79"/>
        <v>0</v>
      </c>
      <c r="AH126" s="31">
        <f t="shared" si="80"/>
        <v>0</v>
      </c>
      <c r="AI126" s="28" t="e">
        <f t="shared" si="81"/>
        <v>#N/A</v>
      </c>
      <c r="AJ126" s="28" t="e">
        <f t="shared" si="82"/>
        <v>#N/A</v>
      </c>
      <c r="AK126" s="28" t="e">
        <f t="shared" si="83"/>
        <v>#N/A</v>
      </c>
      <c r="AL126" s="28" t="e">
        <f t="shared" si="84"/>
        <v>#N/A</v>
      </c>
      <c r="AM126" s="28" t="e">
        <f t="shared" si="85"/>
        <v>#N/A</v>
      </c>
      <c r="AN126" s="28" t="e">
        <f t="shared" si="86"/>
        <v>#N/A</v>
      </c>
      <c r="AO126" s="28" t="e">
        <f t="shared" si="87"/>
        <v>#N/A</v>
      </c>
      <c r="AP126" s="28" t="e">
        <f t="shared" si="88"/>
        <v>#N/A</v>
      </c>
      <c r="AQ126" s="28" t="e">
        <f t="shared" si="89"/>
        <v>#N/A</v>
      </c>
      <c r="AR126" s="28" t="e">
        <f t="shared" si="90"/>
        <v>#N/A</v>
      </c>
      <c r="AS126" s="28" t="e">
        <f t="shared" si="91"/>
        <v>#N/A</v>
      </c>
      <c r="AT126" s="28" t="e">
        <f t="shared" si="92"/>
        <v>#N/A</v>
      </c>
      <c r="AV126" s="31" t="e">
        <f>IF(O126&gt;MAX($V$4:$AE$4),MAX($V$4:$AE$4)-0.1,IF(O126&lt;MIN($V$4:$AE108),MIN($V$4:$AE$4)+0.1,O126))</f>
        <v>#DIV/0!</v>
      </c>
      <c r="AW126" s="31">
        <f t="shared" si="93"/>
        <v>0</v>
      </c>
      <c r="AX126" s="28" t="e">
        <f t="shared" si="94"/>
        <v>#DIV/0!</v>
      </c>
      <c r="AY126" s="28" t="e">
        <f t="shared" si="95"/>
        <v>#DIV/0!</v>
      </c>
      <c r="AZ126" s="28" t="e">
        <f t="shared" si="96"/>
        <v>#DIV/0!</v>
      </c>
      <c r="BA126" s="28" t="e">
        <f t="shared" si="97"/>
        <v>#DIV/0!</v>
      </c>
      <c r="BB126" s="28" t="e">
        <f t="shared" si="98"/>
        <v>#N/A</v>
      </c>
      <c r="BC126" s="28" t="e">
        <f t="shared" si="99"/>
        <v>#N/A</v>
      </c>
      <c r="BD126" s="28" t="e">
        <f t="shared" si="100"/>
        <v>#N/A</v>
      </c>
      <c r="BE126" s="28" t="e">
        <f t="shared" si="101"/>
        <v>#N/A</v>
      </c>
      <c r="BF126" s="28" t="e">
        <f t="shared" si="102"/>
        <v>#DIV/0!</v>
      </c>
      <c r="BG126" s="28" t="e">
        <f t="shared" si="103"/>
        <v>#DIV/0!</v>
      </c>
      <c r="BH126" s="28" t="e">
        <f t="shared" si="104"/>
        <v>#DIV/0!</v>
      </c>
      <c r="BI126" s="28" t="e">
        <f t="shared" si="105"/>
        <v>#DIV/0!</v>
      </c>
    </row>
    <row r="127" spans="2:61" ht="75" customHeight="1" x14ac:dyDescent="0.25">
      <c r="B127" s="17"/>
      <c r="C127" s="17"/>
      <c r="D127" s="17"/>
      <c r="E127" s="17"/>
      <c r="F127" s="17"/>
      <c r="G127" s="17"/>
      <c r="H127" s="65"/>
      <c r="I127" s="17"/>
      <c r="J127" s="17"/>
      <c r="K127" s="17"/>
      <c r="L127" s="17"/>
      <c r="M127" s="17" t="e">
        <f t="shared" si="71"/>
        <v>#DIV/0!</v>
      </c>
      <c r="N127" s="17"/>
      <c r="O127" s="17"/>
      <c r="P127" s="17"/>
      <c r="Q127" s="17"/>
      <c r="R127" s="17"/>
      <c r="S127" s="17"/>
      <c r="U127" s="17">
        <f t="shared" si="72"/>
        <v>0</v>
      </c>
      <c r="V127" s="17" t="e">
        <f t="shared" si="73"/>
        <v>#DIV/0!</v>
      </c>
      <c r="W127" s="30" t="e">
        <f t="shared" si="74"/>
        <v>#DIV/0!</v>
      </c>
      <c r="X127" s="17" t="e">
        <f t="shared" si="75"/>
        <v>#N/A</v>
      </c>
      <c r="Y127" s="17" t="e">
        <f t="shared" si="76"/>
        <v>#DIV/0!</v>
      </c>
      <c r="Z127" s="17" t="e">
        <f t="shared" si="77"/>
        <v>#N/A</v>
      </c>
      <c r="AA127" s="43" t="e">
        <f t="shared" si="78"/>
        <v>#DIV/0!</v>
      </c>
      <c r="AG127" s="31">
        <f t="shared" si="79"/>
        <v>0</v>
      </c>
      <c r="AH127" s="31">
        <f t="shared" si="80"/>
        <v>0</v>
      </c>
      <c r="AI127" s="28" t="e">
        <f t="shared" si="81"/>
        <v>#N/A</v>
      </c>
      <c r="AJ127" s="28" t="e">
        <f t="shared" si="82"/>
        <v>#N/A</v>
      </c>
      <c r="AK127" s="28" t="e">
        <f t="shared" si="83"/>
        <v>#N/A</v>
      </c>
      <c r="AL127" s="28" t="e">
        <f t="shared" si="84"/>
        <v>#N/A</v>
      </c>
      <c r="AM127" s="28" t="e">
        <f t="shared" si="85"/>
        <v>#N/A</v>
      </c>
      <c r="AN127" s="28" t="e">
        <f t="shared" si="86"/>
        <v>#N/A</v>
      </c>
      <c r="AO127" s="28" t="e">
        <f t="shared" si="87"/>
        <v>#N/A</v>
      </c>
      <c r="AP127" s="28" t="e">
        <f t="shared" si="88"/>
        <v>#N/A</v>
      </c>
      <c r="AQ127" s="28" t="e">
        <f t="shared" si="89"/>
        <v>#N/A</v>
      </c>
      <c r="AR127" s="28" t="e">
        <f t="shared" si="90"/>
        <v>#N/A</v>
      </c>
      <c r="AS127" s="28" t="e">
        <f t="shared" si="91"/>
        <v>#N/A</v>
      </c>
      <c r="AT127" s="28" t="e">
        <f t="shared" si="92"/>
        <v>#N/A</v>
      </c>
      <c r="AV127" s="31" t="e">
        <f>IF(O127&gt;MAX($V$4:$AE$4),MAX($V$4:$AE$4)-0.1,IF(O127&lt;MIN($V$4:$AE109),MIN($V$4:$AE$4)+0.1,O127))</f>
        <v>#DIV/0!</v>
      </c>
      <c r="AW127" s="31">
        <f t="shared" si="93"/>
        <v>0</v>
      </c>
      <c r="AX127" s="28" t="e">
        <f t="shared" si="94"/>
        <v>#DIV/0!</v>
      </c>
      <c r="AY127" s="28" t="e">
        <f t="shared" si="95"/>
        <v>#DIV/0!</v>
      </c>
      <c r="AZ127" s="28" t="e">
        <f t="shared" si="96"/>
        <v>#DIV/0!</v>
      </c>
      <c r="BA127" s="28" t="e">
        <f t="shared" si="97"/>
        <v>#DIV/0!</v>
      </c>
      <c r="BB127" s="28" t="e">
        <f t="shared" si="98"/>
        <v>#N/A</v>
      </c>
      <c r="BC127" s="28" t="e">
        <f t="shared" si="99"/>
        <v>#N/A</v>
      </c>
      <c r="BD127" s="28" t="e">
        <f t="shared" si="100"/>
        <v>#N/A</v>
      </c>
      <c r="BE127" s="28" t="e">
        <f t="shared" si="101"/>
        <v>#N/A</v>
      </c>
      <c r="BF127" s="28" t="e">
        <f t="shared" si="102"/>
        <v>#DIV/0!</v>
      </c>
      <c r="BG127" s="28" t="e">
        <f t="shared" si="103"/>
        <v>#DIV/0!</v>
      </c>
      <c r="BH127" s="28" t="e">
        <f t="shared" si="104"/>
        <v>#DIV/0!</v>
      </c>
      <c r="BI127" s="28" t="e">
        <f t="shared" si="105"/>
        <v>#DIV/0!</v>
      </c>
    </row>
    <row r="128" spans="2:61" ht="75" customHeight="1" x14ac:dyDescent="0.25">
      <c r="B128" s="17"/>
      <c r="C128" s="17"/>
      <c r="D128" s="17"/>
      <c r="E128" s="17"/>
      <c r="F128" s="17"/>
      <c r="G128" s="17"/>
      <c r="H128" s="65"/>
      <c r="I128" s="17"/>
      <c r="J128" s="17"/>
      <c r="K128" s="17"/>
      <c r="L128" s="17"/>
      <c r="M128" s="17" t="e">
        <f t="shared" si="71"/>
        <v>#DIV/0!</v>
      </c>
      <c r="N128" s="17"/>
      <c r="O128" s="17"/>
      <c r="P128" s="17"/>
      <c r="Q128" s="17"/>
      <c r="R128" s="17"/>
      <c r="S128" s="17"/>
      <c r="U128" s="17">
        <f t="shared" si="72"/>
        <v>0</v>
      </c>
      <c r="V128" s="17" t="e">
        <f t="shared" si="73"/>
        <v>#DIV/0!</v>
      </c>
      <c r="W128" s="30" t="e">
        <f t="shared" si="74"/>
        <v>#DIV/0!</v>
      </c>
      <c r="X128" s="17" t="e">
        <f t="shared" si="75"/>
        <v>#N/A</v>
      </c>
      <c r="Y128" s="17" t="e">
        <f t="shared" si="76"/>
        <v>#DIV/0!</v>
      </c>
      <c r="Z128" s="17" t="e">
        <f t="shared" si="77"/>
        <v>#N/A</v>
      </c>
      <c r="AA128" s="43" t="e">
        <f t="shared" si="78"/>
        <v>#DIV/0!</v>
      </c>
      <c r="AG128" s="31">
        <f t="shared" si="79"/>
        <v>0</v>
      </c>
      <c r="AH128" s="31">
        <f t="shared" si="80"/>
        <v>0</v>
      </c>
      <c r="AI128" s="28" t="e">
        <f t="shared" si="81"/>
        <v>#N/A</v>
      </c>
      <c r="AJ128" s="28" t="e">
        <f t="shared" si="82"/>
        <v>#N/A</v>
      </c>
      <c r="AK128" s="28" t="e">
        <f t="shared" si="83"/>
        <v>#N/A</v>
      </c>
      <c r="AL128" s="28" t="e">
        <f t="shared" si="84"/>
        <v>#N/A</v>
      </c>
      <c r="AM128" s="28" t="e">
        <f t="shared" si="85"/>
        <v>#N/A</v>
      </c>
      <c r="AN128" s="28" t="e">
        <f t="shared" si="86"/>
        <v>#N/A</v>
      </c>
      <c r="AO128" s="28" t="e">
        <f t="shared" si="87"/>
        <v>#N/A</v>
      </c>
      <c r="AP128" s="28" t="e">
        <f t="shared" si="88"/>
        <v>#N/A</v>
      </c>
      <c r="AQ128" s="28" t="e">
        <f t="shared" si="89"/>
        <v>#N/A</v>
      </c>
      <c r="AR128" s="28" t="e">
        <f t="shared" si="90"/>
        <v>#N/A</v>
      </c>
      <c r="AS128" s="28" t="e">
        <f t="shared" si="91"/>
        <v>#N/A</v>
      </c>
      <c r="AT128" s="28" t="e">
        <f t="shared" si="92"/>
        <v>#N/A</v>
      </c>
      <c r="AV128" s="31" t="e">
        <f>IF(O128&gt;MAX($V$4:$AE$4),MAX($V$4:$AE$4)-0.1,IF(O128&lt;MIN($V$4:$AE110),MIN($V$4:$AE$4)+0.1,O128))</f>
        <v>#DIV/0!</v>
      </c>
      <c r="AW128" s="31">
        <f t="shared" si="93"/>
        <v>0</v>
      </c>
      <c r="AX128" s="28" t="e">
        <f t="shared" si="94"/>
        <v>#DIV/0!</v>
      </c>
      <c r="AY128" s="28" t="e">
        <f t="shared" si="95"/>
        <v>#DIV/0!</v>
      </c>
      <c r="AZ128" s="28" t="e">
        <f t="shared" si="96"/>
        <v>#DIV/0!</v>
      </c>
      <c r="BA128" s="28" t="e">
        <f t="shared" si="97"/>
        <v>#DIV/0!</v>
      </c>
      <c r="BB128" s="28" t="e">
        <f t="shared" si="98"/>
        <v>#N/A</v>
      </c>
      <c r="BC128" s="28" t="e">
        <f t="shared" si="99"/>
        <v>#N/A</v>
      </c>
      <c r="BD128" s="28" t="e">
        <f t="shared" si="100"/>
        <v>#N/A</v>
      </c>
      <c r="BE128" s="28" t="e">
        <f t="shared" si="101"/>
        <v>#N/A</v>
      </c>
      <c r="BF128" s="28" t="e">
        <f t="shared" si="102"/>
        <v>#DIV/0!</v>
      </c>
      <c r="BG128" s="28" t="e">
        <f t="shared" si="103"/>
        <v>#DIV/0!</v>
      </c>
      <c r="BH128" s="28" t="e">
        <f t="shared" si="104"/>
        <v>#DIV/0!</v>
      </c>
      <c r="BI128" s="28" t="e">
        <f t="shared" si="105"/>
        <v>#DIV/0!</v>
      </c>
    </row>
    <row r="129" spans="2:61" ht="75" customHeight="1" x14ac:dyDescent="0.25">
      <c r="B129" s="17"/>
      <c r="C129" s="17"/>
      <c r="D129" s="17"/>
      <c r="E129" s="17"/>
      <c r="F129" s="17"/>
      <c r="G129" s="17"/>
      <c r="H129" s="65"/>
      <c r="I129" s="17"/>
      <c r="J129" s="17"/>
      <c r="K129" s="17"/>
      <c r="L129" s="17"/>
      <c r="M129" s="17" t="e">
        <f t="shared" si="71"/>
        <v>#DIV/0!</v>
      </c>
      <c r="N129" s="17"/>
      <c r="O129" s="17"/>
      <c r="P129" s="17"/>
      <c r="Q129" s="17"/>
      <c r="R129" s="17"/>
      <c r="S129" s="17"/>
      <c r="U129" s="17">
        <f t="shared" si="72"/>
        <v>0</v>
      </c>
      <c r="V129" s="17" t="e">
        <f t="shared" si="73"/>
        <v>#DIV/0!</v>
      </c>
      <c r="W129" s="30" t="e">
        <f t="shared" si="74"/>
        <v>#DIV/0!</v>
      </c>
      <c r="X129" s="17" t="e">
        <f t="shared" si="75"/>
        <v>#N/A</v>
      </c>
      <c r="Y129" s="17" t="e">
        <f t="shared" si="76"/>
        <v>#DIV/0!</v>
      </c>
      <c r="Z129" s="17" t="e">
        <f t="shared" si="77"/>
        <v>#N/A</v>
      </c>
      <c r="AA129" s="43" t="e">
        <f t="shared" si="78"/>
        <v>#DIV/0!</v>
      </c>
      <c r="AG129" s="31">
        <f t="shared" si="79"/>
        <v>0</v>
      </c>
      <c r="AH129" s="31">
        <f t="shared" si="80"/>
        <v>0</v>
      </c>
      <c r="AI129" s="28" t="e">
        <f t="shared" si="81"/>
        <v>#N/A</v>
      </c>
      <c r="AJ129" s="28" t="e">
        <f t="shared" si="82"/>
        <v>#N/A</v>
      </c>
      <c r="AK129" s="28" t="e">
        <f t="shared" si="83"/>
        <v>#N/A</v>
      </c>
      <c r="AL129" s="28" t="e">
        <f t="shared" si="84"/>
        <v>#N/A</v>
      </c>
      <c r="AM129" s="28" t="e">
        <f t="shared" si="85"/>
        <v>#N/A</v>
      </c>
      <c r="AN129" s="28" t="e">
        <f t="shared" si="86"/>
        <v>#N/A</v>
      </c>
      <c r="AO129" s="28" t="e">
        <f t="shared" si="87"/>
        <v>#N/A</v>
      </c>
      <c r="AP129" s="28" t="e">
        <f t="shared" si="88"/>
        <v>#N/A</v>
      </c>
      <c r="AQ129" s="28" t="e">
        <f t="shared" si="89"/>
        <v>#N/A</v>
      </c>
      <c r="AR129" s="28" t="e">
        <f t="shared" si="90"/>
        <v>#N/A</v>
      </c>
      <c r="AS129" s="28" t="e">
        <f t="shared" si="91"/>
        <v>#N/A</v>
      </c>
      <c r="AT129" s="28" t="e">
        <f t="shared" si="92"/>
        <v>#N/A</v>
      </c>
      <c r="AV129" s="31" t="e">
        <f>IF(O129&gt;MAX($V$4:$AE$4),MAX($V$4:$AE$4)-0.1,IF(O129&lt;MIN($V$4:$AE111),MIN($V$4:$AE$4)+0.1,O129))</f>
        <v>#DIV/0!</v>
      </c>
      <c r="AW129" s="31">
        <f t="shared" si="93"/>
        <v>0</v>
      </c>
      <c r="AX129" s="28" t="e">
        <f t="shared" si="94"/>
        <v>#DIV/0!</v>
      </c>
      <c r="AY129" s="28" t="e">
        <f t="shared" si="95"/>
        <v>#DIV/0!</v>
      </c>
      <c r="AZ129" s="28" t="e">
        <f t="shared" si="96"/>
        <v>#DIV/0!</v>
      </c>
      <c r="BA129" s="28" t="e">
        <f t="shared" si="97"/>
        <v>#DIV/0!</v>
      </c>
      <c r="BB129" s="28" t="e">
        <f t="shared" si="98"/>
        <v>#N/A</v>
      </c>
      <c r="BC129" s="28" t="e">
        <f t="shared" si="99"/>
        <v>#N/A</v>
      </c>
      <c r="BD129" s="28" t="e">
        <f t="shared" si="100"/>
        <v>#N/A</v>
      </c>
      <c r="BE129" s="28" t="e">
        <f t="shared" si="101"/>
        <v>#N/A</v>
      </c>
      <c r="BF129" s="28" t="e">
        <f t="shared" si="102"/>
        <v>#DIV/0!</v>
      </c>
      <c r="BG129" s="28" t="e">
        <f t="shared" si="103"/>
        <v>#DIV/0!</v>
      </c>
      <c r="BH129" s="28" t="e">
        <f t="shared" si="104"/>
        <v>#DIV/0!</v>
      </c>
      <c r="BI129" s="28" t="e">
        <f t="shared" si="105"/>
        <v>#DIV/0!</v>
      </c>
    </row>
    <row r="130" spans="2:61" ht="75" customHeight="1" x14ac:dyDescent="0.25">
      <c r="B130" s="17"/>
      <c r="C130" s="17"/>
      <c r="D130" s="17"/>
      <c r="E130" s="17"/>
      <c r="F130" s="17"/>
      <c r="G130" s="17"/>
      <c r="H130" s="65"/>
      <c r="I130" s="17"/>
      <c r="J130" s="17"/>
      <c r="K130" s="17"/>
      <c r="L130" s="17"/>
      <c r="M130" s="17" t="e">
        <f t="shared" si="71"/>
        <v>#DIV/0!</v>
      </c>
      <c r="N130" s="17"/>
      <c r="O130" s="17"/>
      <c r="P130" s="17"/>
      <c r="Q130" s="17"/>
      <c r="R130" s="17"/>
      <c r="S130" s="17"/>
      <c r="U130" s="17">
        <f t="shared" si="72"/>
        <v>0</v>
      </c>
      <c r="V130" s="17" t="e">
        <f t="shared" si="73"/>
        <v>#DIV/0!</v>
      </c>
      <c r="W130" s="30" t="e">
        <f t="shared" si="74"/>
        <v>#DIV/0!</v>
      </c>
      <c r="X130" s="17" t="e">
        <f t="shared" si="75"/>
        <v>#N/A</v>
      </c>
      <c r="Y130" s="17" t="e">
        <f t="shared" si="76"/>
        <v>#DIV/0!</v>
      </c>
      <c r="Z130" s="17" t="e">
        <f t="shared" si="77"/>
        <v>#N/A</v>
      </c>
      <c r="AA130" s="43" t="e">
        <f t="shared" si="78"/>
        <v>#DIV/0!</v>
      </c>
      <c r="AG130" s="31">
        <f t="shared" si="79"/>
        <v>0</v>
      </c>
      <c r="AH130" s="31">
        <f t="shared" si="80"/>
        <v>0</v>
      </c>
      <c r="AI130" s="28" t="e">
        <f t="shared" si="81"/>
        <v>#N/A</v>
      </c>
      <c r="AJ130" s="28" t="e">
        <f t="shared" si="82"/>
        <v>#N/A</v>
      </c>
      <c r="AK130" s="28" t="e">
        <f t="shared" si="83"/>
        <v>#N/A</v>
      </c>
      <c r="AL130" s="28" t="e">
        <f t="shared" si="84"/>
        <v>#N/A</v>
      </c>
      <c r="AM130" s="28" t="e">
        <f t="shared" si="85"/>
        <v>#N/A</v>
      </c>
      <c r="AN130" s="28" t="e">
        <f t="shared" si="86"/>
        <v>#N/A</v>
      </c>
      <c r="AO130" s="28" t="e">
        <f t="shared" si="87"/>
        <v>#N/A</v>
      </c>
      <c r="AP130" s="28" t="e">
        <f t="shared" si="88"/>
        <v>#N/A</v>
      </c>
      <c r="AQ130" s="28" t="e">
        <f t="shared" si="89"/>
        <v>#N/A</v>
      </c>
      <c r="AR130" s="28" t="e">
        <f t="shared" si="90"/>
        <v>#N/A</v>
      </c>
      <c r="AS130" s="28" t="e">
        <f t="shared" si="91"/>
        <v>#N/A</v>
      </c>
      <c r="AT130" s="28" t="e">
        <f t="shared" si="92"/>
        <v>#N/A</v>
      </c>
      <c r="AV130" s="31" t="e">
        <f>IF(O130&gt;MAX($V$4:$AE$4),MAX($V$4:$AE$4)-0.1,IF(O130&lt;MIN($V$4:$AE112),MIN($V$4:$AE$4)+0.1,O130))</f>
        <v>#DIV/0!</v>
      </c>
      <c r="AW130" s="31">
        <f t="shared" si="93"/>
        <v>0</v>
      </c>
      <c r="AX130" s="28" t="e">
        <f t="shared" si="94"/>
        <v>#DIV/0!</v>
      </c>
      <c r="AY130" s="28" t="e">
        <f t="shared" si="95"/>
        <v>#DIV/0!</v>
      </c>
      <c r="AZ130" s="28" t="e">
        <f t="shared" si="96"/>
        <v>#DIV/0!</v>
      </c>
      <c r="BA130" s="28" t="e">
        <f t="shared" si="97"/>
        <v>#DIV/0!</v>
      </c>
      <c r="BB130" s="28" t="e">
        <f t="shared" si="98"/>
        <v>#N/A</v>
      </c>
      <c r="BC130" s="28" t="e">
        <f t="shared" si="99"/>
        <v>#N/A</v>
      </c>
      <c r="BD130" s="28" t="e">
        <f t="shared" si="100"/>
        <v>#N/A</v>
      </c>
      <c r="BE130" s="28" t="e">
        <f t="shared" si="101"/>
        <v>#N/A</v>
      </c>
      <c r="BF130" s="28" t="e">
        <f t="shared" si="102"/>
        <v>#DIV/0!</v>
      </c>
      <c r="BG130" s="28" t="e">
        <f t="shared" si="103"/>
        <v>#DIV/0!</v>
      </c>
      <c r="BH130" s="28" t="e">
        <f t="shared" si="104"/>
        <v>#DIV/0!</v>
      </c>
      <c r="BI130" s="28" t="e">
        <f t="shared" si="105"/>
        <v>#DIV/0!</v>
      </c>
    </row>
    <row r="131" spans="2:61" ht="75" customHeight="1" x14ac:dyDescent="0.25">
      <c r="B131" s="17"/>
      <c r="C131" s="17"/>
      <c r="D131" s="17"/>
      <c r="E131" s="17"/>
      <c r="F131" s="17"/>
      <c r="G131" s="17"/>
      <c r="H131" s="65"/>
      <c r="I131" s="17"/>
      <c r="J131" s="17"/>
      <c r="K131" s="17"/>
      <c r="L131" s="17"/>
      <c r="M131" s="17" t="e">
        <f t="shared" si="71"/>
        <v>#DIV/0!</v>
      </c>
      <c r="N131" s="17"/>
      <c r="O131" s="17"/>
      <c r="P131" s="17"/>
      <c r="Q131" s="17"/>
      <c r="R131" s="17"/>
      <c r="S131" s="17"/>
      <c r="U131" s="17">
        <f t="shared" si="72"/>
        <v>0</v>
      </c>
      <c r="V131" s="17" t="e">
        <f t="shared" si="73"/>
        <v>#DIV/0!</v>
      </c>
      <c r="W131" s="30" t="e">
        <f t="shared" si="74"/>
        <v>#DIV/0!</v>
      </c>
      <c r="X131" s="17" t="e">
        <f t="shared" si="75"/>
        <v>#N/A</v>
      </c>
      <c r="Y131" s="17" t="e">
        <f t="shared" si="76"/>
        <v>#DIV/0!</v>
      </c>
      <c r="Z131" s="17" t="e">
        <f t="shared" si="77"/>
        <v>#N/A</v>
      </c>
      <c r="AA131" s="43" t="e">
        <f t="shared" si="78"/>
        <v>#DIV/0!</v>
      </c>
      <c r="AG131" s="31">
        <f t="shared" si="79"/>
        <v>0</v>
      </c>
      <c r="AH131" s="31">
        <f t="shared" si="80"/>
        <v>0</v>
      </c>
      <c r="AI131" s="28" t="e">
        <f t="shared" si="81"/>
        <v>#N/A</v>
      </c>
      <c r="AJ131" s="28" t="e">
        <f t="shared" si="82"/>
        <v>#N/A</v>
      </c>
      <c r="AK131" s="28" t="e">
        <f t="shared" si="83"/>
        <v>#N/A</v>
      </c>
      <c r="AL131" s="28" t="e">
        <f t="shared" si="84"/>
        <v>#N/A</v>
      </c>
      <c r="AM131" s="28" t="e">
        <f t="shared" si="85"/>
        <v>#N/A</v>
      </c>
      <c r="AN131" s="28" t="e">
        <f t="shared" si="86"/>
        <v>#N/A</v>
      </c>
      <c r="AO131" s="28" t="e">
        <f t="shared" si="87"/>
        <v>#N/A</v>
      </c>
      <c r="AP131" s="28" t="e">
        <f t="shared" si="88"/>
        <v>#N/A</v>
      </c>
      <c r="AQ131" s="28" t="e">
        <f t="shared" si="89"/>
        <v>#N/A</v>
      </c>
      <c r="AR131" s="28" t="e">
        <f t="shared" si="90"/>
        <v>#N/A</v>
      </c>
      <c r="AS131" s="28" t="e">
        <f t="shared" si="91"/>
        <v>#N/A</v>
      </c>
      <c r="AT131" s="28" t="e">
        <f t="shared" si="92"/>
        <v>#N/A</v>
      </c>
      <c r="AV131" s="31" t="e">
        <f>IF(O131&gt;MAX($V$4:$AE$4),MAX($V$4:$AE$4)-0.1,IF(O131&lt;MIN($V$4:$AE113),MIN($V$4:$AE$4)+0.1,O131))</f>
        <v>#DIV/0!</v>
      </c>
      <c r="AW131" s="31">
        <f t="shared" si="93"/>
        <v>0</v>
      </c>
      <c r="AX131" s="28" t="e">
        <f t="shared" si="94"/>
        <v>#DIV/0!</v>
      </c>
      <c r="AY131" s="28" t="e">
        <f t="shared" si="95"/>
        <v>#DIV/0!</v>
      </c>
      <c r="AZ131" s="28" t="e">
        <f t="shared" si="96"/>
        <v>#DIV/0!</v>
      </c>
      <c r="BA131" s="28" t="e">
        <f t="shared" si="97"/>
        <v>#DIV/0!</v>
      </c>
      <c r="BB131" s="28" t="e">
        <f t="shared" si="98"/>
        <v>#N/A</v>
      </c>
      <c r="BC131" s="28" t="e">
        <f t="shared" si="99"/>
        <v>#N/A</v>
      </c>
      <c r="BD131" s="28" t="e">
        <f t="shared" si="100"/>
        <v>#N/A</v>
      </c>
      <c r="BE131" s="28" t="e">
        <f t="shared" si="101"/>
        <v>#N/A</v>
      </c>
      <c r="BF131" s="28" t="e">
        <f t="shared" si="102"/>
        <v>#DIV/0!</v>
      </c>
      <c r="BG131" s="28" t="e">
        <f t="shared" si="103"/>
        <v>#DIV/0!</v>
      </c>
      <c r="BH131" s="28" t="e">
        <f t="shared" si="104"/>
        <v>#DIV/0!</v>
      </c>
      <c r="BI131" s="28" t="e">
        <f t="shared" si="105"/>
        <v>#DIV/0!</v>
      </c>
    </row>
    <row r="132" spans="2:61" ht="75" customHeight="1" x14ac:dyDescent="0.25">
      <c r="B132" s="17"/>
      <c r="C132" s="17"/>
      <c r="D132" s="17"/>
      <c r="E132" s="17"/>
      <c r="F132" s="17"/>
      <c r="G132" s="17"/>
      <c r="H132" s="65"/>
      <c r="I132" s="17"/>
      <c r="J132" s="17"/>
      <c r="K132" s="17"/>
      <c r="L132" s="17"/>
      <c r="M132" s="17" t="e">
        <f t="shared" si="71"/>
        <v>#DIV/0!</v>
      </c>
      <c r="N132" s="17"/>
      <c r="O132" s="17"/>
      <c r="P132" s="17"/>
      <c r="Q132" s="17"/>
      <c r="R132" s="17"/>
      <c r="S132" s="17"/>
      <c r="U132" s="17">
        <f t="shared" si="72"/>
        <v>0</v>
      </c>
      <c r="V132" s="17" t="e">
        <f t="shared" si="73"/>
        <v>#DIV/0!</v>
      </c>
      <c r="W132" s="30" t="e">
        <f t="shared" si="74"/>
        <v>#DIV/0!</v>
      </c>
      <c r="X132" s="17" t="e">
        <f t="shared" si="75"/>
        <v>#N/A</v>
      </c>
      <c r="Y132" s="17" t="e">
        <f t="shared" si="76"/>
        <v>#DIV/0!</v>
      </c>
      <c r="Z132" s="17" t="e">
        <f t="shared" si="77"/>
        <v>#N/A</v>
      </c>
      <c r="AA132" s="43" t="e">
        <f t="shared" si="78"/>
        <v>#DIV/0!</v>
      </c>
      <c r="AG132" s="31">
        <f t="shared" si="79"/>
        <v>0</v>
      </c>
      <c r="AH132" s="31">
        <f t="shared" si="80"/>
        <v>0</v>
      </c>
      <c r="AI132" s="28" t="e">
        <f t="shared" si="81"/>
        <v>#N/A</v>
      </c>
      <c r="AJ132" s="28" t="e">
        <f t="shared" si="82"/>
        <v>#N/A</v>
      </c>
      <c r="AK132" s="28" t="e">
        <f t="shared" si="83"/>
        <v>#N/A</v>
      </c>
      <c r="AL132" s="28" t="e">
        <f t="shared" si="84"/>
        <v>#N/A</v>
      </c>
      <c r="AM132" s="28" t="e">
        <f t="shared" si="85"/>
        <v>#N/A</v>
      </c>
      <c r="AN132" s="28" t="e">
        <f t="shared" si="86"/>
        <v>#N/A</v>
      </c>
      <c r="AO132" s="28" t="e">
        <f t="shared" si="87"/>
        <v>#N/A</v>
      </c>
      <c r="AP132" s="28" t="e">
        <f t="shared" si="88"/>
        <v>#N/A</v>
      </c>
      <c r="AQ132" s="28" t="e">
        <f t="shared" si="89"/>
        <v>#N/A</v>
      </c>
      <c r="AR132" s="28" t="e">
        <f t="shared" si="90"/>
        <v>#N/A</v>
      </c>
      <c r="AS132" s="28" t="e">
        <f t="shared" si="91"/>
        <v>#N/A</v>
      </c>
      <c r="AT132" s="28" t="e">
        <f t="shared" si="92"/>
        <v>#N/A</v>
      </c>
      <c r="AV132" s="31" t="e">
        <f>IF(O132&gt;MAX($V$4:$AE$4),MAX($V$4:$AE$4)-0.1,IF(O132&lt;MIN($V$4:$AE114),MIN($V$4:$AE$4)+0.1,O132))</f>
        <v>#DIV/0!</v>
      </c>
      <c r="AW132" s="31">
        <f t="shared" si="93"/>
        <v>0</v>
      </c>
      <c r="AX132" s="28" t="e">
        <f t="shared" si="94"/>
        <v>#DIV/0!</v>
      </c>
      <c r="AY132" s="28" t="e">
        <f t="shared" si="95"/>
        <v>#DIV/0!</v>
      </c>
      <c r="AZ132" s="28" t="e">
        <f t="shared" si="96"/>
        <v>#DIV/0!</v>
      </c>
      <c r="BA132" s="28" t="e">
        <f t="shared" si="97"/>
        <v>#DIV/0!</v>
      </c>
      <c r="BB132" s="28" t="e">
        <f t="shared" si="98"/>
        <v>#N/A</v>
      </c>
      <c r="BC132" s="28" t="e">
        <f t="shared" si="99"/>
        <v>#N/A</v>
      </c>
      <c r="BD132" s="28" t="e">
        <f t="shared" si="100"/>
        <v>#N/A</v>
      </c>
      <c r="BE132" s="28" t="e">
        <f t="shared" si="101"/>
        <v>#N/A</v>
      </c>
      <c r="BF132" s="28" t="e">
        <f t="shared" si="102"/>
        <v>#DIV/0!</v>
      </c>
      <c r="BG132" s="28" t="e">
        <f t="shared" si="103"/>
        <v>#DIV/0!</v>
      </c>
      <c r="BH132" s="28" t="e">
        <f t="shared" si="104"/>
        <v>#DIV/0!</v>
      </c>
      <c r="BI132" s="28" t="e">
        <f t="shared" si="105"/>
        <v>#DIV/0!</v>
      </c>
    </row>
    <row r="133" spans="2:61" ht="75" customHeight="1" x14ac:dyDescent="0.25">
      <c r="B133" s="17"/>
      <c r="C133" s="17"/>
      <c r="D133" s="17"/>
      <c r="E133" s="17"/>
      <c r="F133" s="17"/>
      <c r="G133" s="17"/>
      <c r="H133" s="65"/>
      <c r="I133" s="17"/>
      <c r="J133" s="17"/>
      <c r="K133" s="17"/>
      <c r="L133" s="17"/>
      <c r="M133" s="17" t="e">
        <f t="shared" si="71"/>
        <v>#DIV/0!</v>
      </c>
      <c r="N133" s="17"/>
      <c r="O133" s="17"/>
      <c r="P133" s="17"/>
      <c r="Q133" s="17"/>
      <c r="R133" s="17"/>
      <c r="S133" s="17"/>
      <c r="U133" s="17">
        <f t="shared" si="72"/>
        <v>0</v>
      </c>
      <c r="V133" s="17" t="e">
        <f t="shared" si="73"/>
        <v>#DIV/0!</v>
      </c>
      <c r="W133" s="30" t="e">
        <f t="shared" si="74"/>
        <v>#DIV/0!</v>
      </c>
      <c r="X133" s="17" t="e">
        <f t="shared" si="75"/>
        <v>#N/A</v>
      </c>
      <c r="Y133" s="17" t="e">
        <f t="shared" si="76"/>
        <v>#DIV/0!</v>
      </c>
      <c r="Z133" s="17" t="e">
        <f t="shared" si="77"/>
        <v>#N/A</v>
      </c>
      <c r="AA133" s="43" t="e">
        <f t="shared" si="78"/>
        <v>#DIV/0!</v>
      </c>
      <c r="AG133" s="31">
        <f t="shared" si="79"/>
        <v>0</v>
      </c>
      <c r="AH133" s="31">
        <f t="shared" si="80"/>
        <v>0</v>
      </c>
      <c r="AI133" s="28" t="e">
        <f t="shared" si="81"/>
        <v>#N/A</v>
      </c>
      <c r="AJ133" s="28" t="e">
        <f t="shared" si="82"/>
        <v>#N/A</v>
      </c>
      <c r="AK133" s="28" t="e">
        <f t="shared" si="83"/>
        <v>#N/A</v>
      </c>
      <c r="AL133" s="28" t="e">
        <f t="shared" si="84"/>
        <v>#N/A</v>
      </c>
      <c r="AM133" s="28" t="e">
        <f t="shared" si="85"/>
        <v>#N/A</v>
      </c>
      <c r="AN133" s="28" t="e">
        <f t="shared" si="86"/>
        <v>#N/A</v>
      </c>
      <c r="AO133" s="28" t="e">
        <f t="shared" si="87"/>
        <v>#N/A</v>
      </c>
      <c r="AP133" s="28" t="e">
        <f t="shared" si="88"/>
        <v>#N/A</v>
      </c>
      <c r="AQ133" s="28" t="e">
        <f t="shared" si="89"/>
        <v>#N/A</v>
      </c>
      <c r="AR133" s="28" t="e">
        <f t="shared" si="90"/>
        <v>#N/A</v>
      </c>
      <c r="AS133" s="28" t="e">
        <f t="shared" si="91"/>
        <v>#N/A</v>
      </c>
      <c r="AT133" s="28" t="e">
        <f t="shared" si="92"/>
        <v>#N/A</v>
      </c>
      <c r="AV133" s="31" t="e">
        <f>IF(O133&gt;MAX($V$4:$AE$4),MAX($V$4:$AE$4)-0.1,IF(O133&lt;MIN($V$4:$AE115),MIN($V$4:$AE$4)+0.1,O133))</f>
        <v>#DIV/0!</v>
      </c>
      <c r="AW133" s="31">
        <f t="shared" si="93"/>
        <v>0</v>
      </c>
      <c r="AX133" s="28" t="e">
        <f t="shared" si="94"/>
        <v>#DIV/0!</v>
      </c>
      <c r="AY133" s="28" t="e">
        <f t="shared" si="95"/>
        <v>#DIV/0!</v>
      </c>
      <c r="AZ133" s="28" t="e">
        <f t="shared" si="96"/>
        <v>#DIV/0!</v>
      </c>
      <c r="BA133" s="28" t="e">
        <f t="shared" si="97"/>
        <v>#DIV/0!</v>
      </c>
      <c r="BB133" s="28" t="e">
        <f t="shared" si="98"/>
        <v>#N/A</v>
      </c>
      <c r="BC133" s="28" t="e">
        <f t="shared" si="99"/>
        <v>#N/A</v>
      </c>
      <c r="BD133" s="28" t="e">
        <f t="shared" si="100"/>
        <v>#N/A</v>
      </c>
      <c r="BE133" s="28" t="e">
        <f t="shared" si="101"/>
        <v>#N/A</v>
      </c>
      <c r="BF133" s="28" t="e">
        <f t="shared" si="102"/>
        <v>#DIV/0!</v>
      </c>
      <c r="BG133" s="28" t="e">
        <f t="shared" si="103"/>
        <v>#DIV/0!</v>
      </c>
      <c r="BH133" s="28" t="e">
        <f t="shared" si="104"/>
        <v>#DIV/0!</v>
      </c>
      <c r="BI133" s="28" t="e">
        <f t="shared" si="105"/>
        <v>#DIV/0!</v>
      </c>
    </row>
    <row r="134" spans="2:61" ht="75" customHeight="1" x14ac:dyDescent="0.25">
      <c r="B134" s="17"/>
      <c r="C134" s="17"/>
      <c r="D134" s="17"/>
      <c r="E134" s="17"/>
      <c r="F134" s="17"/>
      <c r="G134" s="17"/>
      <c r="H134" s="65"/>
      <c r="I134" s="17"/>
      <c r="J134" s="17"/>
      <c r="K134" s="17"/>
      <c r="L134" s="17"/>
      <c r="M134" s="17" t="e">
        <f t="shared" si="71"/>
        <v>#DIV/0!</v>
      </c>
      <c r="N134" s="17"/>
      <c r="O134" s="17"/>
      <c r="P134" s="17"/>
      <c r="Q134" s="17"/>
      <c r="R134" s="17"/>
      <c r="S134" s="17"/>
      <c r="U134" s="17">
        <f t="shared" si="72"/>
        <v>0</v>
      </c>
      <c r="V134" s="17" t="e">
        <f t="shared" si="73"/>
        <v>#DIV/0!</v>
      </c>
      <c r="W134" s="30" t="e">
        <f t="shared" si="74"/>
        <v>#DIV/0!</v>
      </c>
      <c r="X134" s="17" t="e">
        <f t="shared" si="75"/>
        <v>#N/A</v>
      </c>
      <c r="Y134" s="17" t="e">
        <f t="shared" si="76"/>
        <v>#DIV/0!</v>
      </c>
      <c r="Z134" s="17" t="e">
        <f t="shared" si="77"/>
        <v>#N/A</v>
      </c>
      <c r="AA134" s="43" t="e">
        <f t="shared" si="78"/>
        <v>#DIV/0!</v>
      </c>
      <c r="AG134" s="31">
        <f t="shared" si="79"/>
        <v>0</v>
      </c>
      <c r="AH134" s="31">
        <f t="shared" si="80"/>
        <v>0</v>
      </c>
      <c r="AI134" s="28" t="e">
        <f t="shared" si="81"/>
        <v>#N/A</v>
      </c>
      <c r="AJ134" s="28" t="e">
        <f t="shared" si="82"/>
        <v>#N/A</v>
      </c>
      <c r="AK134" s="28" t="e">
        <f t="shared" si="83"/>
        <v>#N/A</v>
      </c>
      <c r="AL134" s="28" t="e">
        <f t="shared" si="84"/>
        <v>#N/A</v>
      </c>
      <c r="AM134" s="28" t="e">
        <f t="shared" si="85"/>
        <v>#N/A</v>
      </c>
      <c r="AN134" s="28" t="e">
        <f t="shared" si="86"/>
        <v>#N/A</v>
      </c>
      <c r="AO134" s="28" t="e">
        <f t="shared" si="87"/>
        <v>#N/A</v>
      </c>
      <c r="AP134" s="28" t="e">
        <f t="shared" si="88"/>
        <v>#N/A</v>
      </c>
      <c r="AQ134" s="28" t="e">
        <f t="shared" si="89"/>
        <v>#N/A</v>
      </c>
      <c r="AR134" s="28" t="e">
        <f t="shared" si="90"/>
        <v>#N/A</v>
      </c>
      <c r="AS134" s="28" t="e">
        <f t="shared" si="91"/>
        <v>#N/A</v>
      </c>
      <c r="AT134" s="28" t="e">
        <f t="shared" si="92"/>
        <v>#N/A</v>
      </c>
      <c r="AV134" s="31" t="e">
        <f>IF(O134&gt;MAX($V$4:$AE$4),MAX($V$4:$AE$4)-0.1,IF(O134&lt;MIN($V$4:$AE116),MIN($V$4:$AE$4)+0.1,O134))</f>
        <v>#DIV/0!</v>
      </c>
      <c r="AW134" s="31">
        <f t="shared" si="93"/>
        <v>0</v>
      </c>
      <c r="AX134" s="28" t="e">
        <f t="shared" si="94"/>
        <v>#DIV/0!</v>
      </c>
      <c r="AY134" s="28" t="e">
        <f t="shared" si="95"/>
        <v>#DIV/0!</v>
      </c>
      <c r="AZ134" s="28" t="e">
        <f t="shared" si="96"/>
        <v>#DIV/0!</v>
      </c>
      <c r="BA134" s="28" t="e">
        <f t="shared" si="97"/>
        <v>#DIV/0!</v>
      </c>
      <c r="BB134" s="28" t="e">
        <f t="shared" si="98"/>
        <v>#N/A</v>
      </c>
      <c r="BC134" s="28" t="e">
        <f t="shared" si="99"/>
        <v>#N/A</v>
      </c>
      <c r="BD134" s="28" t="e">
        <f t="shared" si="100"/>
        <v>#N/A</v>
      </c>
      <c r="BE134" s="28" t="e">
        <f t="shared" si="101"/>
        <v>#N/A</v>
      </c>
      <c r="BF134" s="28" t="e">
        <f t="shared" si="102"/>
        <v>#DIV/0!</v>
      </c>
      <c r="BG134" s="28" t="e">
        <f t="shared" si="103"/>
        <v>#DIV/0!</v>
      </c>
      <c r="BH134" s="28" t="e">
        <f t="shared" si="104"/>
        <v>#DIV/0!</v>
      </c>
      <c r="BI134" s="28" t="e">
        <f t="shared" si="105"/>
        <v>#DIV/0!</v>
      </c>
    </row>
    <row r="135" spans="2:61" ht="75" customHeight="1" x14ac:dyDescent="0.25">
      <c r="B135" s="17"/>
      <c r="C135" s="17"/>
      <c r="D135" s="17"/>
      <c r="E135" s="17"/>
      <c r="F135" s="17"/>
      <c r="G135" s="17"/>
      <c r="H135" s="65"/>
      <c r="I135" s="17"/>
      <c r="J135" s="17"/>
      <c r="K135" s="17"/>
      <c r="L135" s="17"/>
      <c r="M135" s="17" t="e">
        <f t="shared" si="71"/>
        <v>#DIV/0!</v>
      </c>
      <c r="N135" s="17"/>
      <c r="O135" s="17"/>
      <c r="P135" s="17"/>
      <c r="Q135" s="17"/>
      <c r="R135" s="17"/>
      <c r="S135" s="17"/>
      <c r="U135" s="17">
        <f t="shared" si="72"/>
        <v>0</v>
      </c>
      <c r="V135" s="17" t="e">
        <f t="shared" si="73"/>
        <v>#DIV/0!</v>
      </c>
      <c r="W135" s="30" t="e">
        <f t="shared" si="74"/>
        <v>#DIV/0!</v>
      </c>
      <c r="X135" s="17" t="e">
        <f t="shared" si="75"/>
        <v>#N/A</v>
      </c>
      <c r="Y135" s="17" t="e">
        <f t="shared" si="76"/>
        <v>#DIV/0!</v>
      </c>
      <c r="Z135" s="17" t="e">
        <f t="shared" si="77"/>
        <v>#N/A</v>
      </c>
      <c r="AA135" s="43" t="e">
        <f t="shared" si="78"/>
        <v>#DIV/0!</v>
      </c>
      <c r="AG135" s="31">
        <f t="shared" si="79"/>
        <v>0</v>
      </c>
      <c r="AH135" s="31">
        <f t="shared" si="80"/>
        <v>0</v>
      </c>
      <c r="AI135" s="28" t="e">
        <f t="shared" si="81"/>
        <v>#N/A</v>
      </c>
      <c r="AJ135" s="28" t="e">
        <f t="shared" si="82"/>
        <v>#N/A</v>
      </c>
      <c r="AK135" s="28" t="e">
        <f t="shared" si="83"/>
        <v>#N/A</v>
      </c>
      <c r="AL135" s="28" t="e">
        <f t="shared" si="84"/>
        <v>#N/A</v>
      </c>
      <c r="AM135" s="28" t="e">
        <f t="shared" si="85"/>
        <v>#N/A</v>
      </c>
      <c r="AN135" s="28" t="e">
        <f t="shared" si="86"/>
        <v>#N/A</v>
      </c>
      <c r="AO135" s="28" t="e">
        <f t="shared" si="87"/>
        <v>#N/A</v>
      </c>
      <c r="AP135" s="28" t="e">
        <f t="shared" si="88"/>
        <v>#N/A</v>
      </c>
      <c r="AQ135" s="28" t="e">
        <f t="shared" si="89"/>
        <v>#N/A</v>
      </c>
      <c r="AR135" s="28" t="e">
        <f t="shared" si="90"/>
        <v>#N/A</v>
      </c>
      <c r="AS135" s="28" t="e">
        <f t="shared" si="91"/>
        <v>#N/A</v>
      </c>
      <c r="AT135" s="28" t="e">
        <f t="shared" si="92"/>
        <v>#N/A</v>
      </c>
      <c r="AV135" s="31" t="e">
        <f>IF(O135&gt;MAX($V$4:$AE$4),MAX($V$4:$AE$4)-0.1,IF(O135&lt;MIN($V$4:$AE117),MIN($V$4:$AE$4)+0.1,O135))</f>
        <v>#DIV/0!</v>
      </c>
      <c r="AW135" s="31">
        <f t="shared" si="93"/>
        <v>0</v>
      </c>
      <c r="AX135" s="28" t="e">
        <f t="shared" si="94"/>
        <v>#DIV/0!</v>
      </c>
      <c r="AY135" s="28" t="e">
        <f t="shared" si="95"/>
        <v>#DIV/0!</v>
      </c>
      <c r="AZ135" s="28" t="e">
        <f t="shared" si="96"/>
        <v>#DIV/0!</v>
      </c>
      <c r="BA135" s="28" t="e">
        <f t="shared" si="97"/>
        <v>#DIV/0!</v>
      </c>
      <c r="BB135" s="28" t="e">
        <f t="shared" si="98"/>
        <v>#N/A</v>
      </c>
      <c r="BC135" s="28" t="e">
        <f t="shared" si="99"/>
        <v>#N/A</v>
      </c>
      <c r="BD135" s="28" t="e">
        <f t="shared" si="100"/>
        <v>#N/A</v>
      </c>
      <c r="BE135" s="28" t="e">
        <f t="shared" si="101"/>
        <v>#N/A</v>
      </c>
      <c r="BF135" s="28" t="e">
        <f t="shared" si="102"/>
        <v>#DIV/0!</v>
      </c>
      <c r="BG135" s="28" t="e">
        <f t="shared" si="103"/>
        <v>#DIV/0!</v>
      </c>
      <c r="BH135" s="28" t="e">
        <f t="shared" si="104"/>
        <v>#DIV/0!</v>
      </c>
      <c r="BI135" s="28" t="e">
        <f t="shared" si="105"/>
        <v>#DIV/0!</v>
      </c>
    </row>
    <row r="136" spans="2:61" ht="75" customHeight="1" x14ac:dyDescent="0.25">
      <c r="B136" s="17"/>
      <c r="C136" s="17"/>
      <c r="D136" s="17"/>
      <c r="E136" s="17"/>
      <c r="F136" s="17"/>
      <c r="G136" s="17"/>
      <c r="H136" s="65"/>
      <c r="I136" s="17"/>
      <c r="J136" s="17"/>
      <c r="K136" s="17"/>
      <c r="L136" s="17"/>
      <c r="M136" s="17" t="e">
        <f t="shared" si="71"/>
        <v>#DIV/0!</v>
      </c>
      <c r="N136" s="17"/>
      <c r="O136" s="17"/>
      <c r="P136" s="17"/>
      <c r="Q136" s="17"/>
      <c r="R136" s="17"/>
      <c r="S136" s="17"/>
      <c r="U136" s="17">
        <f t="shared" si="72"/>
        <v>0</v>
      </c>
      <c r="V136" s="17" t="e">
        <f t="shared" si="73"/>
        <v>#DIV/0!</v>
      </c>
      <c r="W136" s="30" t="e">
        <f t="shared" si="74"/>
        <v>#DIV/0!</v>
      </c>
      <c r="X136" s="17" t="e">
        <f t="shared" si="75"/>
        <v>#N/A</v>
      </c>
      <c r="Y136" s="17" t="e">
        <f t="shared" si="76"/>
        <v>#DIV/0!</v>
      </c>
      <c r="Z136" s="17" t="e">
        <f t="shared" si="77"/>
        <v>#N/A</v>
      </c>
      <c r="AA136" s="43" t="e">
        <f t="shared" si="78"/>
        <v>#DIV/0!</v>
      </c>
      <c r="AG136" s="31">
        <f t="shared" si="79"/>
        <v>0</v>
      </c>
      <c r="AH136" s="31">
        <f t="shared" si="80"/>
        <v>0</v>
      </c>
      <c r="AI136" s="28" t="e">
        <f t="shared" si="81"/>
        <v>#N/A</v>
      </c>
      <c r="AJ136" s="28" t="e">
        <f t="shared" si="82"/>
        <v>#N/A</v>
      </c>
      <c r="AK136" s="28" t="e">
        <f t="shared" si="83"/>
        <v>#N/A</v>
      </c>
      <c r="AL136" s="28" t="e">
        <f t="shared" si="84"/>
        <v>#N/A</v>
      </c>
      <c r="AM136" s="28" t="e">
        <f t="shared" si="85"/>
        <v>#N/A</v>
      </c>
      <c r="AN136" s="28" t="e">
        <f t="shared" si="86"/>
        <v>#N/A</v>
      </c>
      <c r="AO136" s="28" t="e">
        <f t="shared" si="87"/>
        <v>#N/A</v>
      </c>
      <c r="AP136" s="28" t="e">
        <f t="shared" si="88"/>
        <v>#N/A</v>
      </c>
      <c r="AQ136" s="28" t="e">
        <f t="shared" si="89"/>
        <v>#N/A</v>
      </c>
      <c r="AR136" s="28" t="e">
        <f t="shared" si="90"/>
        <v>#N/A</v>
      </c>
      <c r="AS136" s="28" t="e">
        <f t="shared" si="91"/>
        <v>#N/A</v>
      </c>
      <c r="AT136" s="28" t="e">
        <f t="shared" si="92"/>
        <v>#N/A</v>
      </c>
      <c r="AV136" s="31" t="e">
        <f>IF(O136&gt;MAX($V$4:$AE$4),MAX($V$4:$AE$4)-0.1,IF(O136&lt;MIN($V$4:$AE118),MIN($V$4:$AE$4)+0.1,O136))</f>
        <v>#DIV/0!</v>
      </c>
      <c r="AW136" s="31">
        <f t="shared" si="93"/>
        <v>0</v>
      </c>
      <c r="AX136" s="28" t="e">
        <f t="shared" si="94"/>
        <v>#DIV/0!</v>
      </c>
      <c r="AY136" s="28" t="e">
        <f t="shared" si="95"/>
        <v>#DIV/0!</v>
      </c>
      <c r="AZ136" s="28" t="e">
        <f t="shared" si="96"/>
        <v>#DIV/0!</v>
      </c>
      <c r="BA136" s="28" t="e">
        <f t="shared" si="97"/>
        <v>#DIV/0!</v>
      </c>
      <c r="BB136" s="28" t="e">
        <f t="shared" si="98"/>
        <v>#N/A</v>
      </c>
      <c r="BC136" s="28" t="e">
        <f t="shared" si="99"/>
        <v>#N/A</v>
      </c>
      <c r="BD136" s="28" t="e">
        <f t="shared" si="100"/>
        <v>#N/A</v>
      </c>
      <c r="BE136" s="28" t="e">
        <f t="shared" si="101"/>
        <v>#N/A</v>
      </c>
      <c r="BF136" s="28" t="e">
        <f t="shared" si="102"/>
        <v>#DIV/0!</v>
      </c>
      <c r="BG136" s="28" t="e">
        <f t="shared" si="103"/>
        <v>#DIV/0!</v>
      </c>
      <c r="BH136" s="28" t="e">
        <f t="shared" si="104"/>
        <v>#DIV/0!</v>
      </c>
      <c r="BI136" s="28" t="e">
        <f t="shared" si="105"/>
        <v>#DIV/0!</v>
      </c>
    </row>
    <row r="137" spans="2:61" ht="75" customHeight="1" x14ac:dyDescent="0.25">
      <c r="B137" s="17"/>
      <c r="C137" s="17"/>
      <c r="D137" s="17"/>
      <c r="E137" s="17"/>
      <c r="F137" s="17"/>
      <c r="G137" s="17"/>
      <c r="H137" s="65"/>
      <c r="I137" s="17"/>
      <c r="J137" s="17"/>
      <c r="K137" s="17"/>
      <c r="L137" s="17"/>
      <c r="M137" s="17" t="e">
        <f t="shared" si="71"/>
        <v>#DIV/0!</v>
      </c>
      <c r="N137" s="17"/>
      <c r="O137" s="17"/>
      <c r="P137" s="17"/>
      <c r="Q137" s="17"/>
      <c r="R137" s="17"/>
      <c r="S137" s="17"/>
      <c r="U137" s="17">
        <f t="shared" si="72"/>
        <v>0</v>
      </c>
      <c r="V137" s="17" t="e">
        <f t="shared" si="73"/>
        <v>#DIV/0!</v>
      </c>
      <c r="W137" s="30" t="e">
        <f t="shared" si="74"/>
        <v>#DIV/0!</v>
      </c>
      <c r="X137" s="17" t="e">
        <f t="shared" si="75"/>
        <v>#N/A</v>
      </c>
      <c r="Y137" s="17" t="e">
        <f t="shared" si="76"/>
        <v>#DIV/0!</v>
      </c>
      <c r="Z137" s="17" t="e">
        <f t="shared" si="77"/>
        <v>#N/A</v>
      </c>
      <c r="AA137" s="43" t="e">
        <f t="shared" si="78"/>
        <v>#DIV/0!</v>
      </c>
      <c r="AG137" s="31">
        <f t="shared" si="79"/>
        <v>0</v>
      </c>
      <c r="AH137" s="31">
        <f t="shared" si="80"/>
        <v>0</v>
      </c>
      <c r="AI137" s="28" t="e">
        <f t="shared" si="81"/>
        <v>#N/A</v>
      </c>
      <c r="AJ137" s="28" t="e">
        <f t="shared" si="82"/>
        <v>#N/A</v>
      </c>
      <c r="AK137" s="28" t="e">
        <f t="shared" si="83"/>
        <v>#N/A</v>
      </c>
      <c r="AL137" s="28" t="e">
        <f t="shared" si="84"/>
        <v>#N/A</v>
      </c>
      <c r="AM137" s="28" t="e">
        <f t="shared" si="85"/>
        <v>#N/A</v>
      </c>
      <c r="AN137" s="28" t="e">
        <f t="shared" si="86"/>
        <v>#N/A</v>
      </c>
      <c r="AO137" s="28" t="e">
        <f t="shared" si="87"/>
        <v>#N/A</v>
      </c>
      <c r="AP137" s="28" t="e">
        <f t="shared" si="88"/>
        <v>#N/A</v>
      </c>
      <c r="AQ137" s="28" t="e">
        <f t="shared" si="89"/>
        <v>#N/A</v>
      </c>
      <c r="AR137" s="28" t="e">
        <f t="shared" si="90"/>
        <v>#N/A</v>
      </c>
      <c r="AS137" s="28" t="e">
        <f t="shared" si="91"/>
        <v>#N/A</v>
      </c>
      <c r="AT137" s="28" t="e">
        <f t="shared" si="92"/>
        <v>#N/A</v>
      </c>
      <c r="AV137" s="31" t="e">
        <f>IF(O137&gt;MAX($V$4:$AE$4),MAX($V$4:$AE$4)-0.1,IF(O137&lt;MIN($V$4:$AE119),MIN($V$4:$AE$4)+0.1,O137))</f>
        <v>#DIV/0!</v>
      </c>
      <c r="AW137" s="31">
        <f t="shared" si="93"/>
        <v>0</v>
      </c>
      <c r="AX137" s="28" t="e">
        <f t="shared" si="94"/>
        <v>#DIV/0!</v>
      </c>
      <c r="AY137" s="28" t="e">
        <f t="shared" si="95"/>
        <v>#DIV/0!</v>
      </c>
      <c r="AZ137" s="28" t="e">
        <f t="shared" si="96"/>
        <v>#DIV/0!</v>
      </c>
      <c r="BA137" s="28" t="e">
        <f t="shared" si="97"/>
        <v>#DIV/0!</v>
      </c>
      <c r="BB137" s="28" t="e">
        <f t="shared" si="98"/>
        <v>#N/A</v>
      </c>
      <c r="BC137" s="28" t="e">
        <f t="shared" si="99"/>
        <v>#N/A</v>
      </c>
      <c r="BD137" s="28" t="e">
        <f t="shared" si="100"/>
        <v>#N/A</v>
      </c>
      <c r="BE137" s="28" t="e">
        <f t="shared" si="101"/>
        <v>#N/A</v>
      </c>
      <c r="BF137" s="28" t="e">
        <f t="shared" si="102"/>
        <v>#DIV/0!</v>
      </c>
      <c r="BG137" s="28" t="e">
        <f t="shared" si="103"/>
        <v>#DIV/0!</v>
      </c>
      <c r="BH137" s="28" t="e">
        <f t="shared" si="104"/>
        <v>#DIV/0!</v>
      </c>
      <c r="BI137" s="28" t="e">
        <f t="shared" si="105"/>
        <v>#DIV/0!</v>
      </c>
    </row>
    <row r="138" spans="2:61" ht="75" customHeight="1" x14ac:dyDescent="0.25">
      <c r="B138" s="17"/>
      <c r="C138" s="17"/>
      <c r="D138" s="17"/>
      <c r="E138" s="17"/>
      <c r="F138" s="17"/>
      <c r="G138" s="17"/>
      <c r="H138" s="65"/>
      <c r="I138" s="17"/>
      <c r="J138" s="17"/>
      <c r="K138" s="17"/>
      <c r="L138" s="17"/>
      <c r="M138" s="17" t="e">
        <f t="shared" si="71"/>
        <v>#DIV/0!</v>
      </c>
      <c r="N138" s="17"/>
      <c r="O138" s="17"/>
      <c r="P138" s="17"/>
      <c r="Q138" s="17"/>
      <c r="R138" s="17"/>
      <c r="S138" s="17"/>
      <c r="U138" s="17">
        <f t="shared" si="72"/>
        <v>0</v>
      </c>
      <c r="V138" s="17" t="e">
        <f t="shared" si="73"/>
        <v>#DIV/0!</v>
      </c>
      <c r="W138" s="30" t="e">
        <f t="shared" si="74"/>
        <v>#DIV/0!</v>
      </c>
      <c r="X138" s="17" t="e">
        <f t="shared" si="75"/>
        <v>#N/A</v>
      </c>
      <c r="Y138" s="17" t="e">
        <f t="shared" si="76"/>
        <v>#DIV/0!</v>
      </c>
      <c r="Z138" s="17" t="e">
        <f t="shared" si="77"/>
        <v>#N/A</v>
      </c>
      <c r="AA138" s="43" t="e">
        <f t="shared" si="78"/>
        <v>#DIV/0!</v>
      </c>
      <c r="AG138" s="31">
        <f t="shared" si="79"/>
        <v>0</v>
      </c>
      <c r="AH138" s="31">
        <f t="shared" si="80"/>
        <v>0</v>
      </c>
      <c r="AI138" s="28" t="e">
        <f t="shared" si="81"/>
        <v>#N/A</v>
      </c>
      <c r="AJ138" s="28" t="e">
        <f t="shared" si="82"/>
        <v>#N/A</v>
      </c>
      <c r="AK138" s="28" t="e">
        <f t="shared" si="83"/>
        <v>#N/A</v>
      </c>
      <c r="AL138" s="28" t="e">
        <f t="shared" si="84"/>
        <v>#N/A</v>
      </c>
      <c r="AM138" s="28" t="e">
        <f t="shared" si="85"/>
        <v>#N/A</v>
      </c>
      <c r="AN138" s="28" t="e">
        <f t="shared" si="86"/>
        <v>#N/A</v>
      </c>
      <c r="AO138" s="28" t="e">
        <f t="shared" si="87"/>
        <v>#N/A</v>
      </c>
      <c r="AP138" s="28" t="e">
        <f t="shared" si="88"/>
        <v>#N/A</v>
      </c>
      <c r="AQ138" s="28" t="e">
        <f t="shared" si="89"/>
        <v>#N/A</v>
      </c>
      <c r="AR138" s="28" t="e">
        <f t="shared" si="90"/>
        <v>#N/A</v>
      </c>
      <c r="AS138" s="28" t="e">
        <f t="shared" si="91"/>
        <v>#N/A</v>
      </c>
      <c r="AT138" s="28" t="e">
        <f t="shared" si="92"/>
        <v>#N/A</v>
      </c>
      <c r="AV138" s="31" t="e">
        <f>IF(O138&gt;MAX($V$4:$AE$4),MAX($V$4:$AE$4)-0.1,IF(O138&lt;MIN($V$4:$AE120),MIN($V$4:$AE$4)+0.1,O138))</f>
        <v>#DIV/0!</v>
      </c>
      <c r="AW138" s="31">
        <f t="shared" si="93"/>
        <v>0</v>
      </c>
      <c r="AX138" s="28" t="e">
        <f t="shared" si="94"/>
        <v>#DIV/0!</v>
      </c>
      <c r="AY138" s="28" t="e">
        <f t="shared" si="95"/>
        <v>#DIV/0!</v>
      </c>
      <c r="AZ138" s="28" t="e">
        <f t="shared" si="96"/>
        <v>#DIV/0!</v>
      </c>
      <c r="BA138" s="28" t="e">
        <f t="shared" si="97"/>
        <v>#DIV/0!</v>
      </c>
      <c r="BB138" s="28" t="e">
        <f t="shared" si="98"/>
        <v>#N/A</v>
      </c>
      <c r="BC138" s="28" t="e">
        <f t="shared" si="99"/>
        <v>#N/A</v>
      </c>
      <c r="BD138" s="28" t="e">
        <f t="shared" si="100"/>
        <v>#N/A</v>
      </c>
      <c r="BE138" s="28" t="e">
        <f t="shared" si="101"/>
        <v>#N/A</v>
      </c>
      <c r="BF138" s="28" t="e">
        <f t="shared" si="102"/>
        <v>#DIV/0!</v>
      </c>
      <c r="BG138" s="28" t="e">
        <f t="shared" si="103"/>
        <v>#DIV/0!</v>
      </c>
      <c r="BH138" s="28" t="e">
        <f t="shared" si="104"/>
        <v>#DIV/0!</v>
      </c>
      <c r="BI138" s="28" t="e">
        <f t="shared" si="105"/>
        <v>#DIV/0!</v>
      </c>
    </row>
    <row r="139" spans="2:61" ht="75" customHeight="1" x14ac:dyDescent="0.25">
      <c r="B139" s="17"/>
      <c r="C139" s="17"/>
      <c r="D139" s="17"/>
      <c r="E139" s="17"/>
      <c r="F139" s="17"/>
      <c r="G139" s="17"/>
      <c r="H139" s="65"/>
      <c r="I139" s="17"/>
      <c r="J139" s="17"/>
      <c r="K139" s="17"/>
      <c r="L139" s="17"/>
      <c r="M139" s="17" t="e">
        <f t="shared" si="71"/>
        <v>#DIV/0!</v>
      </c>
      <c r="N139" s="17"/>
      <c r="O139" s="17"/>
      <c r="P139" s="17"/>
      <c r="Q139" s="17"/>
      <c r="R139" s="17"/>
      <c r="S139" s="17"/>
      <c r="U139" s="17">
        <f t="shared" si="72"/>
        <v>0</v>
      </c>
      <c r="V139" s="17" t="e">
        <f t="shared" si="73"/>
        <v>#DIV/0!</v>
      </c>
      <c r="W139" s="30" t="e">
        <f t="shared" si="74"/>
        <v>#DIV/0!</v>
      </c>
      <c r="X139" s="17" t="e">
        <f t="shared" si="75"/>
        <v>#N/A</v>
      </c>
      <c r="Y139" s="17" t="e">
        <f t="shared" si="76"/>
        <v>#DIV/0!</v>
      </c>
      <c r="Z139" s="17" t="e">
        <f t="shared" si="77"/>
        <v>#N/A</v>
      </c>
      <c r="AA139" s="43" t="e">
        <f t="shared" si="78"/>
        <v>#DIV/0!</v>
      </c>
      <c r="AG139" s="31">
        <f t="shared" si="79"/>
        <v>0</v>
      </c>
      <c r="AH139" s="31">
        <f t="shared" si="80"/>
        <v>0</v>
      </c>
      <c r="AI139" s="28" t="e">
        <f t="shared" si="81"/>
        <v>#N/A</v>
      </c>
      <c r="AJ139" s="28" t="e">
        <f t="shared" si="82"/>
        <v>#N/A</v>
      </c>
      <c r="AK139" s="28" t="e">
        <f t="shared" si="83"/>
        <v>#N/A</v>
      </c>
      <c r="AL139" s="28" t="e">
        <f t="shared" si="84"/>
        <v>#N/A</v>
      </c>
      <c r="AM139" s="28" t="e">
        <f t="shared" si="85"/>
        <v>#N/A</v>
      </c>
      <c r="AN139" s="28" t="e">
        <f t="shared" si="86"/>
        <v>#N/A</v>
      </c>
      <c r="AO139" s="28" t="e">
        <f t="shared" si="87"/>
        <v>#N/A</v>
      </c>
      <c r="AP139" s="28" t="e">
        <f t="shared" si="88"/>
        <v>#N/A</v>
      </c>
      <c r="AQ139" s="28" t="e">
        <f t="shared" si="89"/>
        <v>#N/A</v>
      </c>
      <c r="AR139" s="28" t="e">
        <f t="shared" si="90"/>
        <v>#N/A</v>
      </c>
      <c r="AS139" s="28" t="e">
        <f t="shared" si="91"/>
        <v>#N/A</v>
      </c>
      <c r="AT139" s="28" t="e">
        <f t="shared" si="92"/>
        <v>#N/A</v>
      </c>
      <c r="AV139" s="31" t="e">
        <f>IF(O139&gt;MAX($V$4:$AE$4),MAX($V$4:$AE$4)-0.1,IF(O139&lt;MIN($V$4:$AE121),MIN($V$4:$AE$4)+0.1,O139))</f>
        <v>#DIV/0!</v>
      </c>
      <c r="AW139" s="31">
        <f t="shared" si="93"/>
        <v>0</v>
      </c>
      <c r="AX139" s="28" t="e">
        <f t="shared" si="94"/>
        <v>#DIV/0!</v>
      </c>
      <c r="AY139" s="28" t="e">
        <f t="shared" si="95"/>
        <v>#DIV/0!</v>
      </c>
      <c r="AZ139" s="28" t="e">
        <f t="shared" si="96"/>
        <v>#DIV/0!</v>
      </c>
      <c r="BA139" s="28" t="e">
        <f t="shared" si="97"/>
        <v>#DIV/0!</v>
      </c>
      <c r="BB139" s="28" t="e">
        <f t="shared" si="98"/>
        <v>#N/A</v>
      </c>
      <c r="BC139" s="28" t="e">
        <f t="shared" si="99"/>
        <v>#N/A</v>
      </c>
      <c r="BD139" s="28" t="e">
        <f t="shared" si="100"/>
        <v>#N/A</v>
      </c>
      <c r="BE139" s="28" t="e">
        <f t="shared" si="101"/>
        <v>#N/A</v>
      </c>
      <c r="BF139" s="28" t="e">
        <f t="shared" si="102"/>
        <v>#DIV/0!</v>
      </c>
      <c r="BG139" s="28" t="e">
        <f t="shared" si="103"/>
        <v>#DIV/0!</v>
      </c>
      <c r="BH139" s="28" t="e">
        <f t="shared" si="104"/>
        <v>#DIV/0!</v>
      </c>
      <c r="BI139" s="28" t="e">
        <f t="shared" si="105"/>
        <v>#DIV/0!</v>
      </c>
    </row>
    <row r="140" spans="2:61" ht="75" customHeight="1" x14ac:dyDescent="0.25">
      <c r="B140" s="17"/>
      <c r="C140" s="17"/>
      <c r="D140" s="17"/>
      <c r="E140" s="17"/>
      <c r="F140" s="17"/>
      <c r="G140" s="17"/>
      <c r="H140" s="65"/>
      <c r="I140" s="17"/>
      <c r="J140" s="17"/>
      <c r="K140" s="17"/>
      <c r="L140" s="17"/>
      <c r="M140" s="17" t="e">
        <f t="shared" si="71"/>
        <v>#DIV/0!</v>
      </c>
      <c r="N140" s="17"/>
      <c r="O140" s="17"/>
      <c r="P140" s="17"/>
      <c r="Q140" s="17"/>
      <c r="R140" s="17"/>
      <c r="S140" s="17"/>
      <c r="U140" s="17">
        <f t="shared" si="72"/>
        <v>0</v>
      </c>
      <c r="V140" s="17" t="e">
        <f t="shared" si="73"/>
        <v>#DIV/0!</v>
      </c>
      <c r="W140" s="30" t="e">
        <f t="shared" si="74"/>
        <v>#DIV/0!</v>
      </c>
      <c r="X140" s="17" t="e">
        <f t="shared" si="75"/>
        <v>#N/A</v>
      </c>
      <c r="Y140" s="17" t="e">
        <f t="shared" si="76"/>
        <v>#DIV/0!</v>
      </c>
      <c r="Z140" s="17" t="e">
        <f t="shared" si="77"/>
        <v>#N/A</v>
      </c>
      <c r="AA140" s="43" t="e">
        <f t="shared" si="78"/>
        <v>#DIV/0!</v>
      </c>
      <c r="AG140" s="31">
        <f t="shared" si="79"/>
        <v>0</v>
      </c>
      <c r="AH140" s="31">
        <f t="shared" si="80"/>
        <v>0</v>
      </c>
      <c r="AI140" s="28" t="e">
        <f t="shared" si="81"/>
        <v>#N/A</v>
      </c>
      <c r="AJ140" s="28" t="e">
        <f t="shared" si="82"/>
        <v>#N/A</v>
      </c>
      <c r="AK140" s="28" t="e">
        <f t="shared" si="83"/>
        <v>#N/A</v>
      </c>
      <c r="AL140" s="28" t="e">
        <f t="shared" si="84"/>
        <v>#N/A</v>
      </c>
      <c r="AM140" s="28" t="e">
        <f t="shared" si="85"/>
        <v>#N/A</v>
      </c>
      <c r="AN140" s="28" t="e">
        <f t="shared" si="86"/>
        <v>#N/A</v>
      </c>
      <c r="AO140" s="28" t="e">
        <f t="shared" si="87"/>
        <v>#N/A</v>
      </c>
      <c r="AP140" s="28" t="e">
        <f t="shared" si="88"/>
        <v>#N/A</v>
      </c>
      <c r="AQ140" s="28" t="e">
        <f t="shared" si="89"/>
        <v>#N/A</v>
      </c>
      <c r="AR140" s="28" t="e">
        <f t="shared" si="90"/>
        <v>#N/A</v>
      </c>
      <c r="AS140" s="28" t="e">
        <f t="shared" si="91"/>
        <v>#N/A</v>
      </c>
      <c r="AT140" s="28" t="e">
        <f t="shared" si="92"/>
        <v>#N/A</v>
      </c>
      <c r="AV140" s="31" t="e">
        <f>IF(O140&gt;MAX($V$4:$AE$4),MAX($V$4:$AE$4)-0.1,IF(O140&lt;MIN($V$4:$AE122),MIN($V$4:$AE$4)+0.1,O140))</f>
        <v>#DIV/0!</v>
      </c>
      <c r="AW140" s="31">
        <f t="shared" si="93"/>
        <v>0</v>
      </c>
      <c r="AX140" s="28" t="e">
        <f t="shared" si="94"/>
        <v>#DIV/0!</v>
      </c>
      <c r="AY140" s="28" t="e">
        <f t="shared" si="95"/>
        <v>#DIV/0!</v>
      </c>
      <c r="AZ140" s="28" t="e">
        <f t="shared" si="96"/>
        <v>#DIV/0!</v>
      </c>
      <c r="BA140" s="28" t="e">
        <f t="shared" si="97"/>
        <v>#DIV/0!</v>
      </c>
      <c r="BB140" s="28" t="e">
        <f t="shared" si="98"/>
        <v>#N/A</v>
      </c>
      <c r="BC140" s="28" t="e">
        <f t="shared" si="99"/>
        <v>#N/A</v>
      </c>
      <c r="BD140" s="28" t="e">
        <f t="shared" si="100"/>
        <v>#N/A</v>
      </c>
      <c r="BE140" s="28" t="e">
        <f t="shared" si="101"/>
        <v>#N/A</v>
      </c>
      <c r="BF140" s="28" t="e">
        <f t="shared" si="102"/>
        <v>#DIV/0!</v>
      </c>
      <c r="BG140" s="28" t="e">
        <f t="shared" si="103"/>
        <v>#DIV/0!</v>
      </c>
      <c r="BH140" s="28" t="e">
        <f t="shared" si="104"/>
        <v>#DIV/0!</v>
      </c>
      <c r="BI140" s="28" t="e">
        <f t="shared" si="105"/>
        <v>#DIV/0!</v>
      </c>
    </row>
    <row r="141" spans="2:61" ht="75" customHeight="1" x14ac:dyDescent="0.25">
      <c r="B141" s="17"/>
      <c r="C141" s="17"/>
      <c r="D141" s="17"/>
      <c r="E141" s="17"/>
      <c r="F141" s="17"/>
      <c r="G141" s="17"/>
      <c r="H141" s="65"/>
      <c r="I141" s="17"/>
      <c r="J141" s="17"/>
      <c r="K141" s="17"/>
      <c r="L141" s="17"/>
      <c r="M141" s="17" t="e">
        <f t="shared" si="71"/>
        <v>#DIV/0!</v>
      </c>
      <c r="N141" s="17"/>
      <c r="O141" s="17"/>
      <c r="P141" s="17"/>
      <c r="Q141" s="17"/>
      <c r="R141" s="17"/>
      <c r="S141" s="17"/>
      <c r="U141" s="17">
        <f t="shared" si="72"/>
        <v>0</v>
      </c>
      <c r="V141" s="17" t="e">
        <f t="shared" si="73"/>
        <v>#DIV/0!</v>
      </c>
      <c r="W141" s="30" t="e">
        <f t="shared" si="74"/>
        <v>#DIV/0!</v>
      </c>
      <c r="X141" s="17" t="e">
        <f t="shared" si="75"/>
        <v>#N/A</v>
      </c>
      <c r="Y141" s="17" t="e">
        <f t="shared" si="76"/>
        <v>#DIV/0!</v>
      </c>
      <c r="Z141" s="17" t="e">
        <f t="shared" si="77"/>
        <v>#N/A</v>
      </c>
      <c r="AA141" s="43" t="e">
        <f t="shared" si="78"/>
        <v>#DIV/0!</v>
      </c>
      <c r="AG141" s="31">
        <f t="shared" si="79"/>
        <v>0</v>
      </c>
      <c r="AH141" s="31">
        <f t="shared" si="80"/>
        <v>0</v>
      </c>
      <c r="AI141" s="28" t="e">
        <f t="shared" si="81"/>
        <v>#N/A</v>
      </c>
      <c r="AJ141" s="28" t="e">
        <f t="shared" si="82"/>
        <v>#N/A</v>
      </c>
      <c r="AK141" s="28" t="e">
        <f t="shared" si="83"/>
        <v>#N/A</v>
      </c>
      <c r="AL141" s="28" t="e">
        <f t="shared" si="84"/>
        <v>#N/A</v>
      </c>
      <c r="AM141" s="28" t="e">
        <f t="shared" si="85"/>
        <v>#N/A</v>
      </c>
      <c r="AN141" s="28" t="e">
        <f t="shared" si="86"/>
        <v>#N/A</v>
      </c>
      <c r="AO141" s="28" t="e">
        <f t="shared" si="87"/>
        <v>#N/A</v>
      </c>
      <c r="AP141" s="28" t="e">
        <f t="shared" si="88"/>
        <v>#N/A</v>
      </c>
      <c r="AQ141" s="28" t="e">
        <f t="shared" si="89"/>
        <v>#N/A</v>
      </c>
      <c r="AR141" s="28" t="e">
        <f t="shared" si="90"/>
        <v>#N/A</v>
      </c>
      <c r="AS141" s="28" t="e">
        <f t="shared" si="91"/>
        <v>#N/A</v>
      </c>
      <c r="AT141" s="28" t="e">
        <f t="shared" si="92"/>
        <v>#N/A</v>
      </c>
      <c r="AV141" s="31" t="e">
        <f>IF(O141&gt;MAX($V$4:$AE$4),MAX($V$4:$AE$4)-0.1,IF(O141&lt;MIN($V$4:$AE123),MIN($V$4:$AE$4)+0.1,O141))</f>
        <v>#DIV/0!</v>
      </c>
      <c r="AW141" s="31">
        <f t="shared" si="93"/>
        <v>0</v>
      </c>
      <c r="AX141" s="28" t="e">
        <f t="shared" si="94"/>
        <v>#DIV/0!</v>
      </c>
      <c r="AY141" s="28" t="e">
        <f t="shared" si="95"/>
        <v>#DIV/0!</v>
      </c>
      <c r="AZ141" s="28" t="e">
        <f t="shared" si="96"/>
        <v>#DIV/0!</v>
      </c>
      <c r="BA141" s="28" t="e">
        <f t="shared" si="97"/>
        <v>#DIV/0!</v>
      </c>
      <c r="BB141" s="28" t="e">
        <f t="shared" si="98"/>
        <v>#N/A</v>
      </c>
      <c r="BC141" s="28" t="e">
        <f t="shared" si="99"/>
        <v>#N/A</v>
      </c>
      <c r="BD141" s="28" t="e">
        <f t="shared" si="100"/>
        <v>#N/A</v>
      </c>
      <c r="BE141" s="28" t="e">
        <f t="shared" si="101"/>
        <v>#N/A</v>
      </c>
      <c r="BF141" s="28" t="e">
        <f t="shared" si="102"/>
        <v>#DIV/0!</v>
      </c>
      <c r="BG141" s="28" t="e">
        <f t="shared" si="103"/>
        <v>#DIV/0!</v>
      </c>
      <c r="BH141" s="28" t="e">
        <f t="shared" si="104"/>
        <v>#DIV/0!</v>
      </c>
      <c r="BI141" s="28" t="e">
        <f t="shared" si="105"/>
        <v>#DIV/0!</v>
      </c>
    </row>
    <row r="142" spans="2:61" ht="75" customHeight="1" x14ac:dyDescent="0.25">
      <c r="B142" s="17"/>
      <c r="C142" s="17"/>
      <c r="D142" s="17"/>
      <c r="E142" s="17"/>
      <c r="F142" s="17"/>
      <c r="G142" s="17"/>
      <c r="H142" s="65"/>
      <c r="I142" s="17"/>
      <c r="J142" s="17"/>
      <c r="K142" s="17"/>
      <c r="L142" s="17"/>
      <c r="M142" s="17" t="e">
        <f t="shared" si="71"/>
        <v>#DIV/0!</v>
      </c>
      <c r="N142" s="17"/>
      <c r="O142" s="17"/>
      <c r="P142" s="17"/>
      <c r="Q142" s="17"/>
      <c r="R142" s="17"/>
      <c r="S142" s="17"/>
      <c r="U142" s="17">
        <f t="shared" si="72"/>
        <v>0</v>
      </c>
      <c r="V142" s="17" t="e">
        <f t="shared" si="73"/>
        <v>#DIV/0!</v>
      </c>
      <c r="W142" s="30" t="e">
        <f t="shared" si="74"/>
        <v>#DIV/0!</v>
      </c>
      <c r="X142" s="17" t="e">
        <f t="shared" si="75"/>
        <v>#N/A</v>
      </c>
      <c r="Y142" s="17" t="e">
        <f t="shared" si="76"/>
        <v>#DIV/0!</v>
      </c>
      <c r="Z142" s="17" t="e">
        <f t="shared" si="77"/>
        <v>#N/A</v>
      </c>
      <c r="AA142" s="43" t="e">
        <f t="shared" si="78"/>
        <v>#DIV/0!</v>
      </c>
      <c r="AG142" s="31">
        <f t="shared" si="79"/>
        <v>0</v>
      </c>
      <c r="AH142" s="31">
        <f t="shared" si="80"/>
        <v>0</v>
      </c>
      <c r="AI142" s="28" t="e">
        <f t="shared" si="81"/>
        <v>#N/A</v>
      </c>
      <c r="AJ142" s="28" t="e">
        <f t="shared" si="82"/>
        <v>#N/A</v>
      </c>
      <c r="AK142" s="28" t="e">
        <f t="shared" si="83"/>
        <v>#N/A</v>
      </c>
      <c r="AL142" s="28" t="e">
        <f t="shared" si="84"/>
        <v>#N/A</v>
      </c>
      <c r="AM142" s="28" t="e">
        <f t="shared" si="85"/>
        <v>#N/A</v>
      </c>
      <c r="AN142" s="28" t="e">
        <f t="shared" si="86"/>
        <v>#N/A</v>
      </c>
      <c r="AO142" s="28" t="e">
        <f t="shared" si="87"/>
        <v>#N/A</v>
      </c>
      <c r="AP142" s="28" t="e">
        <f t="shared" si="88"/>
        <v>#N/A</v>
      </c>
      <c r="AQ142" s="28" t="e">
        <f t="shared" si="89"/>
        <v>#N/A</v>
      </c>
      <c r="AR142" s="28" t="e">
        <f t="shared" si="90"/>
        <v>#N/A</v>
      </c>
      <c r="AS142" s="28" t="e">
        <f t="shared" si="91"/>
        <v>#N/A</v>
      </c>
      <c r="AT142" s="28" t="e">
        <f t="shared" si="92"/>
        <v>#N/A</v>
      </c>
      <c r="AV142" s="31" t="e">
        <f>IF(O142&gt;MAX($V$4:$AE$4),MAX($V$4:$AE$4)-0.1,IF(O142&lt;MIN($V$4:$AE124),MIN($V$4:$AE$4)+0.1,O142))</f>
        <v>#DIV/0!</v>
      </c>
      <c r="AW142" s="31">
        <f t="shared" si="93"/>
        <v>0</v>
      </c>
      <c r="AX142" s="28" t="e">
        <f t="shared" si="94"/>
        <v>#DIV/0!</v>
      </c>
      <c r="AY142" s="28" t="e">
        <f t="shared" si="95"/>
        <v>#DIV/0!</v>
      </c>
      <c r="AZ142" s="28" t="e">
        <f t="shared" si="96"/>
        <v>#DIV/0!</v>
      </c>
      <c r="BA142" s="28" t="e">
        <f t="shared" si="97"/>
        <v>#DIV/0!</v>
      </c>
      <c r="BB142" s="28" t="e">
        <f t="shared" si="98"/>
        <v>#N/A</v>
      </c>
      <c r="BC142" s="28" t="e">
        <f t="shared" si="99"/>
        <v>#N/A</v>
      </c>
      <c r="BD142" s="28" t="e">
        <f t="shared" si="100"/>
        <v>#N/A</v>
      </c>
      <c r="BE142" s="28" t="e">
        <f t="shared" si="101"/>
        <v>#N/A</v>
      </c>
      <c r="BF142" s="28" t="e">
        <f t="shared" si="102"/>
        <v>#DIV/0!</v>
      </c>
      <c r="BG142" s="28" t="e">
        <f t="shared" si="103"/>
        <v>#DIV/0!</v>
      </c>
      <c r="BH142" s="28" t="e">
        <f t="shared" si="104"/>
        <v>#DIV/0!</v>
      </c>
      <c r="BI142" s="28" t="e">
        <f t="shared" si="105"/>
        <v>#DIV/0!</v>
      </c>
    </row>
    <row r="143" spans="2:61" ht="75" customHeight="1" x14ac:dyDescent="0.25">
      <c r="B143" s="17"/>
      <c r="C143" s="17"/>
      <c r="D143" s="17"/>
      <c r="E143" s="17"/>
      <c r="F143" s="17"/>
      <c r="G143" s="17"/>
      <c r="H143" s="65"/>
      <c r="I143" s="17"/>
      <c r="J143" s="17"/>
      <c r="K143" s="17"/>
      <c r="L143" s="17"/>
      <c r="M143" s="17" t="e">
        <f t="shared" si="71"/>
        <v>#DIV/0!</v>
      </c>
      <c r="N143" s="17"/>
      <c r="O143" s="17"/>
      <c r="P143" s="17"/>
      <c r="Q143" s="17"/>
      <c r="R143" s="17"/>
      <c r="S143" s="17"/>
      <c r="U143" s="17">
        <f t="shared" si="72"/>
        <v>0</v>
      </c>
      <c r="V143" s="17" t="e">
        <f t="shared" si="73"/>
        <v>#DIV/0!</v>
      </c>
      <c r="W143" s="30" t="e">
        <f t="shared" si="74"/>
        <v>#DIV/0!</v>
      </c>
      <c r="X143" s="17" t="e">
        <f t="shared" si="75"/>
        <v>#N/A</v>
      </c>
      <c r="Y143" s="17" t="e">
        <f t="shared" si="76"/>
        <v>#DIV/0!</v>
      </c>
      <c r="Z143" s="17" t="e">
        <f t="shared" si="77"/>
        <v>#N/A</v>
      </c>
      <c r="AA143" s="43" t="e">
        <f t="shared" si="78"/>
        <v>#DIV/0!</v>
      </c>
      <c r="AG143" s="31">
        <f t="shared" si="79"/>
        <v>0</v>
      </c>
      <c r="AH143" s="31">
        <f t="shared" si="80"/>
        <v>0</v>
      </c>
      <c r="AI143" s="28" t="e">
        <f t="shared" si="81"/>
        <v>#N/A</v>
      </c>
      <c r="AJ143" s="28" t="e">
        <f t="shared" si="82"/>
        <v>#N/A</v>
      </c>
      <c r="AK143" s="28" t="e">
        <f t="shared" si="83"/>
        <v>#N/A</v>
      </c>
      <c r="AL143" s="28" t="e">
        <f t="shared" si="84"/>
        <v>#N/A</v>
      </c>
      <c r="AM143" s="28" t="e">
        <f t="shared" si="85"/>
        <v>#N/A</v>
      </c>
      <c r="AN143" s="28" t="e">
        <f t="shared" si="86"/>
        <v>#N/A</v>
      </c>
      <c r="AO143" s="28" t="e">
        <f t="shared" si="87"/>
        <v>#N/A</v>
      </c>
      <c r="AP143" s="28" t="e">
        <f t="shared" si="88"/>
        <v>#N/A</v>
      </c>
      <c r="AQ143" s="28" t="e">
        <f t="shared" si="89"/>
        <v>#N/A</v>
      </c>
      <c r="AR143" s="28" t="e">
        <f t="shared" si="90"/>
        <v>#N/A</v>
      </c>
      <c r="AS143" s="28" t="e">
        <f t="shared" si="91"/>
        <v>#N/A</v>
      </c>
      <c r="AT143" s="28" t="e">
        <f t="shared" si="92"/>
        <v>#N/A</v>
      </c>
      <c r="AV143" s="31" t="e">
        <f>IF(O143&gt;MAX($V$4:$AE$4),MAX($V$4:$AE$4)-0.1,IF(O143&lt;MIN($V$4:$AE125),MIN($V$4:$AE$4)+0.1,O143))</f>
        <v>#DIV/0!</v>
      </c>
      <c r="AW143" s="31">
        <f t="shared" si="93"/>
        <v>0</v>
      </c>
      <c r="AX143" s="28" t="e">
        <f t="shared" si="94"/>
        <v>#DIV/0!</v>
      </c>
      <c r="AY143" s="28" t="e">
        <f t="shared" si="95"/>
        <v>#DIV/0!</v>
      </c>
      <c r="AZ143" s="28" t="e">
        <f t="shared" si="96"/>
        <v>#DIV/0!</v>
      </c>
      <c r="BA143" s="28" t="e">
        <f t="shared" si="97"/>
        <v>#DIV/0!</v>
      </c>
      <c r="BB143" s="28" t="e">
        <f t="shared" si="98"/>
        <v>#N/A</v>
      </c>
      <c r="BC143" s="28" t="e">
        <f t="shared" si="99"/>
        <v>#N/A</v>
      </c>
      <c r="BD143" s="28" t="e">
        <f t="shared" si="100"/>
        <v>#N/A</v>
      </c>
      <c r="BE143" s="28" t="e">
        <f t="shared" si="101"/>
        <v>#N/A</v>
      </c>
      <c r="BF143" s="28" t="e">
        <f t="shared" si="102"/>
        <v>#DIV/0!</v>
      </c>
      <c r="BG143" s="28" t="e">
        <f t="shared" si="103"/>
        <v>#DIV/0!</v>
      </c>
      <c r="BH143" s="28" t="e">
        <f t="shared" si="104"/>
        <v>#DIV/0!</v>
      </c>
      <c r="BI143" s="28" t="e">
        <f t="shared" si="105"/>
        <v>#DIV/0!</v>
      </c>
    </row>
    <row r="144" spans="2:61" ht="75" customHeight="1" x14ac:dyDescent="0.25">
      <c r="B144" s="17"/>
      <c r="C144" s="17"/>
      <c r="D144" s="17"/>
      <c r="E144" s="17"/>
      <c r="F144" s="17"/>
      <c r="G144" s="17"/>
      <c r="H144" s="65"/>
      <c r="I144" s="17"/>
      <c r="J144" s="17"/>
      <c r="K144" s="17"/>
      <c r="L144" s="17"/>
      <c r="M144" s="17" t="e">
        <f t="shared" si="71"/>
        <v>#DIV/0!</v>
      </c>
      <c r="N144" s="17"/>
      <c r="O144" s="17"/>
      <c r="P144" s="17"/>
      <c r="Q144" s="17"/>
      <c r="R144" s="17"/>
      <c r="S144" s="17"/>
      <c r="U144" s="17">
        <f t="shared" si="72"/>
        <v>0</v>
      </c>
      <c r="V144" s="17" t="e">
        <f t="shared" si="73"/>
        <v>#DIV/0!</v>
      </c>
      <c r="W144" s="30" t="e">
        <f t="shared" si="74"/>
        <v>#DIV/0!</v>
      </c>
      <c r="X144" s="17" t="e">
        <f t="shared" si="75"/>
        <v>#N/A</v>
      </c>
      <c r="Y144" s="17" t="e">
        <f t="shared" si="76"/>
        <v>#DIV/0!</v>
      </c>
      <c r="Z144" s="17" t="e">
        <f t="shared" si="77"/>
        <v>#N/A</v>
      </c>
      <c r="AA144" s="43" t="e">
        <f t="shared" si="78"/>
        <v>#DIV/0!</v>
      </c>
      <c r="AG144" s="31">
        <f t="shared" si="79"/>
        <v>0</v>
      </c>
      <c r="AH144" s="31">
        <f t="shared" si="80"/>
        <v>0</v>
      </c>
      <c r="AI144" s="28" t="e">
        <f t="shared" si="81"/>
        <v>#N/A</v>
      </c>
      <c r="AJ144" s="28" t="e">
        <f t="shared" si="82"/>
        <v>#N/A</v>
      </c>
      <c r="AK144" s="28" t="e">
        <f t="shared" si="83"/>
        <v>#N/A</v>
      </c>
      <c r="AL144" s="28" t="e">
        <f t="shared" si="84"/>
        <v>#N/A</v>
      </c>
      <c r="AM144" s="28" t="e">
        <f t="shared" si="85"/>
        <v>#N/A</v>
      </c>
      <c r="AN144" s="28" t="e">
        <f t="shared" si="86"/>
        <v>#N/A</v>
      </c>
      <c r="AO144" s="28" t="e">
        <f t="shared" si="87"/>
        <v>#N/A</v>
      </c>
      <c r="AP144" s="28" t="e">
        <f t="shared" si="88"/>
        <v>#N/A</v>
      </c>
      <c r="AQ144" s="28" t="e">
        <f t="shared" si="89"/>
        <v>#N/A</v>
      </c>
      <c r="AR144" s="28" t="e">
        <f t="shared" si="90"/>
        <v>#N/A</v>
      </c>
      <c r="AS144" s="28" t="e">
        <f t="shared" si="91"/>
        <v>#N/A</v>
      </c>
      <c r="AT144" s="28" t="e">
        <f t="shared" si="92"/>
        <v>#N/A</v>
      </c>
      <c r="AV144" s="31" t="e">
        <f>IF(O144&gt;MAX($V$4:$AE$4),MAX($V$4:$AE$4)-0.1,IF(O144&lt;MIN($V$4:$AE126),MIN($V$4:$AE$4)+0.1,O144))</f>
        <v>#DIV/0!</v>
      </c>
      <c r="AW144" s="31">
        <f t="shared" si="93"/>
        <v>0</v>
      </c>
      <c r="AX144" s="28" t="e">
        <f t="shared" si="94"/>
        <v>#DIV/0!</v>
      </c>
      <c r="AY144" s="28" t="e">
        <f t="shared" si="95"/>
        <v>#DIV/0!</v>
      </c>
      <c r="AZ144" s="28" t="e">
        <f t="shared" si="96"/>
        <v>#DIV/0!</v>
      </c>
      <c r="BA144" s="28" t="e">
        <f t="shared" si="97"/>
        <v>#DIV/0!</v>
      </c>
      <c r="BB144" s="28" t="e">
        <f t="shared" si="98"/>
        <v>#N/A</v>
      </c>
      <c r="BC144" s="28" t="e">
        <f t="shared" si="99"/>
        <v>#N/A</v>
      </c>
      <c r="BD144" s="28" t="e">
        <f t="shared" si="100"/>
        <v>#N/A</v>
      </c>
      <c r="BE144" s="28" t="e">
        <f t="shared" si="101"/>
        <v>#N/A</v>
      </c>
      <c r="BF144" s="28" t="e">
        <f t="shared" si="102"/>
        <v>#DIV/0!</v>
      </c>
      <c r="BG144" s="28" t="e">
        <f t="shared" si="103"/>
        <v>#DIV/0!</v>
      </c>
      <c r="BH144" s="28" t="e">
        <f t="shared" si="104"/>
        <v>#DIV/0!</v>
      </c>
      <c r="BI144" s="28" t="e">
        <f t="shared" si="105"/>
        <v>#DIV/0!</v>
      </c>
    </row>
    <row r="145" spans="2:61" ht="75" customHeight="1" x14ac:dyDescent="0.25">
      <c r="B145" s="17"/>
      <c r="C145" s="17"/>
      <c r="D145" s="17"/>
      <c r="E145" s="17"/>
      <c r="F145" s="17"/>
      <c r="G145" s="17"/>
      <c r="H145" s="65"/>
      <c r="I145" s="17"/>
      <c r="J145" s="17"/>
      <c r="K145" s="17"/>
      <c r="L145" s="17"/>
      <c r="M145" s="17" t="e">
        <f t="shared" si="71"/>
        <v>#DIV/0!</v>
      </c>
      <c r="N145" s="17"/>
      <c r="O145" s="17"/>
      <c r="P145" s="17"/>
      <c r="Q145" s="17"/>
      <c r="R145" s="17"/>
      <c r="S145" s="17"/>
      <c r="U145" s="17">
        <f t="shared" si="72"/>
        <v>0</v>
      </c>
      <c r="V145" s="17" t="e">
        <f t="shared" si="73"/>
        <v>#DIV/0!</v>
      </c>
      <c r="W145" s="30" t="e">
        <f t="shared" si="74"/>
        <v>#DIV/0!</v>
      </c>
      <c r="X145" s="17" t="e">
        <f t="shared" si="75"/>
        <v>#N/A</v>
      </c>
      <c r="Y145" s="17" t="e">
        <f t="shared" si="76"/>
        <v>#DIV/0!</v>
      </c>
      <c r="Z145" s="17" t="e">
        <f t="shared" si="77"/>
        <v>#N/A</v>
      </c>
      <c r="AA145" s="43" t="e">
        <f t="shared" si="78"/>
        <v>#DIV/0!</v>
      </c>
      <c r="AG145" s="31">
        <f t="shared" si="79"/>
        <v>0</v>
      </c>
      <c r="AH145" s="31">
        <f t="shared" si="80"/>
        <v>0</v>
      </c>
      <c r="AI145" s="28" t="e">
        <f t="shared" si="81"/>
        <v>#N/A</v>
      </c>
      <c r="AJ145" s="28" t="e">
        <f t="shared" si="82"/>
        <v>#N/A</v>
      </c>
      <c r="AK145" s="28" t="e">
        <f t="shared" si="83"/>
        <v>#N/A</v>
      </c>
      <c r="AL145" s="28" t="e">
        <f t="shared" si="84"/>
        <v>#N/A</v>
      </c>
      <c r="AM145" s="28" t="e">
        <f t="shared" si="85"/>
        <v>#N/A</v>
      </c>
      <c r="AN145" s="28" t="e">
        <f t="shared" si="86"/>
        <v>#N/A</v>
      </c>
      <c r="AO145" s="28" t="e">
        <f t="shared" si="87"/>
        <v>#N/A</v>
      </c>
      <c r="AP145" s="28" t="e">
        <f t="shared" si="88"/>
        <v>#N/A</v>
      </c>
      <c r="AQ145" s="28" t="e">
        <f t="shared" si="89"/>
        <v>#N/A</v>
      </c>
      <c r="AR145" s="28" t="e">
        <f t="shared" si="90"/>
        <v>#N/A</v>
      </c>
      <c r="AS145" s="28" t="e">
        <f t="shared" si="91"/>
        <v>#N/A</v>
      </c>
      <c r="AT145" s="28" t="e">
        <f t="shared" si="92"/>
        <v>#N/A</v>
      </c>
      <c r="AV145" s="31" t="e">
        <f>IF(O145&gt;MAX($V$4:$AE$4),MAX($V$4:$AE$4)-0.1,IF(O145&lt;MIN($V$4:$AE127),MIN($V$4:$AE$4)+0.1,O145))</f>
        <v>#DIV/0!</v>
      </c>
      <c r="AW145" s="31">
        <f t="shared" si="93"/>
        <v>0</v>
      </c>
      <c r="AX145" s="28" t="e">
        <f t="shared" si="94"/>
        <v>#DIV/0!</v>
      </c>
      <c r="AY145" s="28" t="e">
        <f t="shared" si="95"/>
        <v>#DIV/0!</v>
      </c>
      <c r="AZ145" s="28" t="e">
        <f t="shared" si="96"/>
        <v>#DIV/0!</v>
      </c>
      <c r="BA145" s="28" t="e">
        <f t="shared" si="97"/>
        <v>#DIV/0!</v>
      </c>
      <c r="BB145" s="28" t="e">
        <f t="shared" si="98"/>
        <v>#N/A</v>
      </c>
      <c r="BC145" s="28" t="e">
        <f t="shared" si="99"/>
        <v>#N/A</v>
      </c>
      <c r="BD145" s="28" t="e">
        <f t="shared" si="100"/>
        <v>#N/A</v>
      </c>
      <c r="BE145" s="28" t="e">
        <f t="shared" si="101"/>
        <v>#N/A</v>
      </c>
      <c r="BF145" s="28" t="e">
        <f t="shared" si="102"/>
        <v>#DIV/0!</v>
      </c>
      <c r="BG145" s="28" t="e">
        <f t="shared" si="103"/>
        <v>#DIV/0!</v>
      </c>
      <c r="BH145" s="28" t="e">
        <f t="shared" si="104"/>
        <v>#DIV/0!</v>
      </c>
      <c r="BI145" s="28" t="e">
        <f t="shared" si="105"/>
        <v>#DIV/0!</v>
      </c>
    </row>
    <row r="146" spans="2:61" ht="75" customHeight="1" x14ac:dyDescent="0.25">
      <c r="B146" s="17"/>
      <c r="C146" s="17"/>
      <c r="D146" s="17"/>
      <c r="E146" s="17"/>
      <c r="F146" s="17"/>
      <c r="G146" s="17"/>
      <c r="H146" s="65"/>
      <c r="I146" s="17"/>
      <c r="J146" s="17"/>
      <c r="K146" s="17"/>
      <c r="L146" s="17"/>
      <c r="M146" s="17" t="e">
        <f t="shared" si="71"/>
        <v>#DIV/0!</v>
      </c>
      <c r="N146" s="17"/>
      <c r="O146" s="17"/>
      <c r="P146" s="17"/>
      <c r="Q146" s="17"/>
      <c r="R146" s="17"/>
      <c r="S146" s="17"/>
      <c r="U146" s="17">
        <f t="shared" si="72"/>
        <v>0</v>
      </c>
      <c r="V146" s="17" t="e">
        <f t="shared" si="73"/>
        <v>#DIV/0!</v>
      </c>
      <c r="W146" s="30" t="e">
        <f t="shared" si="74"/>
        <v>#DIV/0!</v>
      </c>
      <c r="X146" s="17" t="e">
        <f t="shared" si="75"/>
        <v>#N/A</v>
      </c>
      <c r="Y146" s="17" t="e">
        <f t="shared" si="76"/>
        <v>#DIV/0!</v>
      </c>
      <c r="Z146" s="17" t="e">
        <f t="shared" si="77"/>
        <v>#N/A</v>
      </c>
      <c r="AA146" s="43" t="e">
        <f t="shared" si="78"/>
        <v>#DIV/0!</v>
      </c>
      <c r="AG146" s="31">
        <f t="shared" si="79"/>
        <v>0</v>
      </c>
      <c r="AH146" s="31">
        <f t="shared" si="80"/>
        <v>0</v>
      </c>
      <c r="AI146" s="28" t="e">
        <f t="shared" si="81"/>
        <v>#N/A</v>
      </c>
      <c r="AJ146" s="28" t="e">
        <f t="shared" si="82"/>
        <v>#N/A</v>
      </c>
      <c r="AK146" s="28" t="e">
        <f t="shared" si="83"/>
        <v>#N/A</v>
      </c>
      <c r="AL146" s="28" t="e">
        <f t="shared" si="84"/>
        <v>#N/A</v>
      </c>
      <c r="AM146" s="28" t="e">
        <f t="shared" si="85"/>
        <v>#N/A</v>
      </c>
      <c r="AN146" s="28" t="e">
        <f t="shared" si="86"/>
        <v>#N/A</v>
      </c>
      <c r="AO146" s="28" t="e">
        <f t="shared" si="87"/>
        <v>#N/A</v>
      </c>
      <c r="AP146" s="28" t="e">
        <f t="shared" si="88"/>
        <v>#N/A</v>
      </c>
      <c r="AQ146" s="28" t="e">
        <f t="shared" si="89"/>
        <v>#N/A</v>
      </c>
      <c r="AR146" s="28" t="e">
        <f t="shared" si="90"/>
        <v>#N/A</v>
      </c>
      <c r="AS146" s="28" t="e">
        <f t="shared" si="91"/>
        <v>#N/A</v>
      </c>
      <c r="AT146" s="28" t="e">
        <f t="shared" si="92"/>
        <v>#N/A</v>
      </c>
      <c r="AV146" s="31" t="e">
        <f>IF(O146&gt;MAX($V$4:$AE$4),MAX($V$4:$AE$4)-0.1,IF(O146&lt;MIN($V$4:$AE128),MIN($V$4:$AE$4)+0.1,O146))</f>
        <v>#DIV/0!</v>
      </c>
      <c r="AW146" s="31">
        <f t="shared" si="93"/>
        <v>0</v>
      </c>
      <c r="AX146" s="28" t="e">
        <f t="shared" si="94"/>
        <v>#DIV/0!</v>
      </c>
      <c r="AY146" s="28" t="e">
        <f t="shared" si="95"/>
        <v>#DIV/0!</v>
      </c>
      <c r="AZ146" s="28" t="e">
        <f t="shared" si="96"/>
        <v>#DIV/0!</v>
      </c>
      <c r="BA146" s="28" t="e">
        <f t="shared" si="97"/>
        <v>#DIV/0!</v>
      </c>
      <c r="BB146" s="28" t="e">
        <f t="shared" si="98"/>
        <v>#N/A</v>
      </c>
      <c r="BC146" s="28" t="e">
        <f t="shared" si="99"/>
        <v>#N/A</v>
      </c>
      <c r="BD146" s="28" t="e">
        <f t="shared" si="100"/>
        <v>#N/A</v>
      </c>
      <c r="BE146" s="28" t="e">
        <f t="shared" si="101"/>
        <v>#N/A</v>
      </c>
      <c r="BF146" s="28" t="e">
        <f t="shared" si="102"/>
        <v>#DIV/0!</v>
      </c>
      <c r="BG146" s="28" t="e">
        <f t="shared" si="103"/>
        <v>#DIV/0!</v>
      </c>
      <c r="BH146" s="28" t="e">
        <f t="shared" si="104"/>
        <v>#DIV/0!</v>
      </c>
      <c r="BI146" s="28" t="e">
        <f t="shared" si="105"/>
        <v>#DIV/0!</v>
      </c>
    </row>
    <row r="147" spans="2:61" ht="75" customHeight="1" x14ac:dyDescent="0.25">
      <c r="B147" s="17"/>
      <c r="C147" s="17"/>
      <c r="D147" s="17"/>
      <c r="E147" s="17"/>
      <c r="F147" s="17"/>
      <c r="G147" s="17"/>
      <c r="H147" s="65"/>
      <c r="I147" s="17"/>
      <c r="J147" s="17"/>
      <c r="K147" s="17"/>
      <c r="L147" s="17"/>
      <c r="M147" s="17" t="e">
        <f t="shared" si="71"/>
        <v>#DIV/0!</v>
      </c>
      <c r="N147" s="17"/>
      <c r="O147" s="17"/>
      <c r="P147" s="17"/>
      <c r="Q147" s="17"/>
      <c r="R147" s="17"/>
      <c r="S147" s="17"/>
      <c r="U147" s="17">
        <f t="shared" si="72"/>
        <v>0</v>
      </c>
      <c r="V147" s="17" t="e">
        <f t="shared" si="73"/>
        <v>#DIV/0!</v>
      </c>
      <c r="W147" s="30" t="e">
        <f t="shared" si="74"/>
        <v>#DIV/0!</v>
      </c>
      <c r="X147" s="17" t="e">
        <f t="shared" si="75"/>
        <v>#N/A</v>
      </c>
      <c r="Y147" s="17" t="e">
        <f t="shared" si="76"/>
        <v>#DIV/0!</v>
      </c>
      <c r="Z147" s="17" t="e">
        <f t="shared" si="77"/>
        <v>#N/A</v>
      </c>
      <c r="AA147" s="43" t="e">
        <f t="shared" si="78"/>
        <v>#DIV/0!</v>
      </c>
      <c r="AG147" s="31">
        <f t="shared" si="79"/>
        <v>0</v>
      </c>
      <c r="AH147" s="31">
        <f t="shared" si="80"/>
        <v>0</v>
      </c>
      <c r="AI147" s="28" t="e">
        <f t="shared" si="81"/>
        <v>#N/A</v>
      </c>
      <c r="AJ147" s="28" t="e">
        <f t="shared" si="82"/>
        <v>#N/A</v>
      </c>
      <c r="AK147" s="28" t="e">
        <f t="shared" si="83"/>
        <v>#N/A</v>
      </c>
      <c r="AL147" s="28" t="e">
        <f t="shared" si="84"/>
        <v>#N/A</v>
      </c>
      <c r="AM147" s="28" t="e">
        <f t="shared" si="85"/>
        <v>#N/A</v>
      </c>
      <c r="AN147" s="28" t="e">
        <f t="shared" si="86"/>
        <v>#N/A</v>
      </c>
      <c r="AO147" s="28" t="e">
        <f t="shared" si="87"/>
        <v>#N/A</v>
      </c>
      <c r="AP147" s="28" t="e">
        <f t="shared" si="88"/>
        <v>#N/A</v>
      </c>
      <c r="AQ147" s="28" t="e">
        <f t="shared" si="89"/>
        <v>#N/A</v>
      </c>
      <c r="AR147" s="28" t="e">
        <f t="shared" si="90"/>
        <v>#N/A</v>
      </c>
      <c r="AS147" s="28" t="e">
        <f t="shared" si="91"/>
        <v>#N/A</v>
      </c>
      <c r="AT147" s="28" t="e">
        <f t="shared" si="92"/>
        <v>#N/A</v>
      </c>
      <c r="AV147" s="31" t="e">
        <f>IF(O147&gt;MAX($V$4:$AE$4),MAX($V$4:$AE$4)-0.1,IF(O147&lt;MIN($V$4:$AE129),MIN($V$4:$AE$4)+0.1,O147))</f>
        <v>#DIV/0!</v>
      </c>
      <c r="AW147" s="31">
        <f t="shared" si="93"/>
        <v>0</v>
      </c>
      <c r="AX147" s="28" t="e">
        <f t="shared" si="94"/>
        <v>#DIV/0!</v>
      </c>
      <c r="AY147" s="28" t="e">
        <f t="shared" si="95"/>
        <v>#DIV/0!</v>
      </c>
      <c r="AZ147" s="28" t="e">
        <f t="shared" si="96"/>
        <v>#DIV/0!</v>
      </c>
      <c r="BA147" s="28" t="e">
        <f t="shared" si="97"/>
        <v>#DIV/0!</v>
      </c>
      <c r="BB147" s="28" t="e">
        <f t="shared" si="98"/>
        <v>#N/A</v>
      </c>
      <c r="BC147" s="28" t="e">
        <f t="shared" si="99"/>
        <v>#N/A</v>
      </c>
      <c r="BD147" s="28" t="e">
        <f t="shared" si="100"/>
        <v>#N/A</v>
      </c>
      <c r="BE147" s="28" t="e">
        <f t="shared" si="101"/>
        <v>#N/A</v>
      </c>
      <c r="BF147" s="28" t="e">
        <f t="shared" si="102"/>
        <v>#DIV/0!</v>
      </c>
      <c r="BG147" s="28" t="e">
        <f t="shared" si="103"/>
        <v>#DIV/0!</v>
      </c>
      <c r="BH147" s="28" t="e">
        <f t="shared" si="104"/>
        <v>#DIV/0!</v>
      </c>
      <c r="BI147" s="28" t="e">
        <f t="shared" si="105"/>
        <v>#DIV/0!</v>
      </c>
    </row>
    <row r="148" spans="2:61" ht="75" customHeight="1" x14ac:dyDescent="0.25">
      <c r="B148" s="17"/>
      <c r="C148" s="17"/>
      <c r="D148" s="17"/>
      <c r="E148" s="17"/>
      <c r="F148" s="17"/>
      <c r="G148" s="17"/>
      <c r="H148" s="65"/>
      <c r="I148" s="17"/>
      <c r="J148" s="17"/>
      <c r="K148" s="17"/>
      <c r="L148" s="17"/>
      <c r="M148" s="17" t="e">
        <f t="shared" si="71"/>
        <v>#DIV/0!</v>
      </c>
      <c r="N148" s="17"/>
      <c r="O148" s="17"/>
      <c r="P148" s="17"/>
      <c r="Q148" s="17"/>
      <c r="R148" s="17"/>
      <c r="S148" s="17"/>
      <c r="U148" s="17">
        <f t="shared" si="72"/>
        <v>0</v>
      </c>
      <c r="V148" s="17" t="e">
        <f t="shared" si="73"/>
        <v>#DIV/0!</v>
      </c>
      <c r="W148" s="30" t="e">
        <f t="shared" si="74"/>
        <v>#DIV/0!</v>
      </c>
      <c r="X148" s="17" t="e">
        <f t="shared" si="75"/>
        <v>#N/A</v>
      </c>
      <c r="Y148" s="17" t="e">
        <f t="shared" si="76"/>
        <v>#DIV/0!</v>
      </c>
      <c r="Z148" s="17" t="e">
        <f t="shared" si="77"/>
        <v>#N/A</v>
      </c>
      <c r="AA148" s="43" t="e">
        <f t="shared" si="78"/>
        <v>#DIV/0!</v>
      </c>
      <c r="AG148" s="31">
        <f t="shared" si="79"/>
        <v>0</v>
      </c>
      <c r="AH148" s="31">
        <f t="shared" si="80"/>
        <v>0</v>
      </c>
      <c r="AI148" s="28" t="e">
        <f t="shared" si="81"/>
        <v>#N/A</v>
      </c>
      <c r="AJ148" s="28" t="e">
        <f t="shared" si="82"/>
        <v>#N/A</v>
      </c>
      <c r="AK148" s="28" t="e">
        <f t="shared" si="83"/>
        <v>#N/A</v>
      </c>
      <c r="AL148" s="28" t="e">
        <f t="shared" si="84"/>
        <v>#N/A</v>
      </c>
      <c r="AM148" s="28" t="e">
        <f t="shared" si="85"/>
        <v>#N/A</v>
      </c>
      <c r="AN148" s="28" t="e">
        <f t="shared" si="86"/>
        <v>#N/A</v>
      </c>
      <c r="AO148" s="28" t="e">
        <f t="shared" si="87"/>
        <v>#N/A</v>
      </c>
      <c r="AP148" s="28" t="e">
        <f t="shared" si="88"/>
        <v>#N/A</v>
      </c>
      <c r="AQ148" s="28" t="e">
        <f t="shared" si="89"/>
        <v>#N/A</v>
      </c>
      <c r="AR148" s="28" t="e">
        <f t="shared" si="90"/>
        <v>#N/A</v>
      </c>
      <c r="AS148" s="28" t="e">
        <f t="shared" si="91"/>
        <v>#N/A</v>
      </c>
      <c r="AT148" s="28" t="e">
        <f t="shared" si="92"/>
        <v>#N/A</v>
      </c>
      <c r="AV148" s="31" t="e">
        <f>IF(O148&gt;MAX($V$4:$AE$4),MAX($V$4:$AE$4)-0.1,IF(O148&lt;MIN($V$4:$AE130),MIN($V$4:$AE$4)+0.1,O148))</f>
        <v>#DIV/0!</v>
      </c>
      <c r="AW148" s="31">
        <f t="shared" si="93"/>
        <v>0</v>
      </c>
      <c r="AX148" s="28" t="e">
        <f t="shared" si="94"/>
        <v>#DIV/0!</v>
      </c>
      <c r="AY148" s="28" t="e">
        <f t="shared" si="95"/>
        <v>#DIV/0!</v>
      </c>
      <c r="AZ148" s="28" t="e">
        <f t="shared" si="96"/>
        <v>#DIV/0!</v>
      </c>
      <c r="BA148" s="28" t="e">
        <f t="shared" si="97"/>
        <v>#DIV/0!</v>
      </c>
      <c r="BB148" s="28" t="e">
        <f t="shared" si="98"/>
        <v>#N/A</v>
      </c>
      <c r="BC148" s="28" t="e">
        <f t="shared" si="99"/>
        <v>#N/A</v>
      </c>
      <c r="BD148" s="28" t="e">
        <f t="shared" si="100"/>
        <v>#N/A</v>
      </c>
      <c r="BE148" s="28" t="e">
        <f t="shared" si="101"/>
        <v>#N/A</v>
      </c>
      <c r="BF148" s="28" t="e">
        <f t="shared" si="102"/>
        <v>#DIV/0!</v>
      </c>
      <c r="BG148" s="28" t="e">
        <f t="shared" si="103"/>
        <v>#DIV/0!</v>
      </c>
      <c r="BH148" s="28" t="e">
        <f t="shared" si="104"/>
        <v>#DIV/0!</v>
      </c>
      <c r="BI148" s="28" t="e">
        <f t="shared" si="105"/>
        <v>#DIV/0!</v>
      </c>
    </row>
    <row r="149" spans="2:61" ht="75" customHeight="1" x14ac:dyDescent="0.25">
      <c r="B149" s="17"/>
      <c r="C149" s="17"/>
      <c r="D149" s="17"/>
      <c r="E149" s="17"/>
      <c r="F149" s="17"/>
      <c r="G149" s="17"/>
      <c r="H149" s="65"/>
      <c r="I149" s="17"/>
      <c r="J149" s="17"/>
      <c r="K149" s="17"/>
      <c r="L149" s="17"/>
      <c r="M149" s="17" t="e">
        <f t="shared" si="71"/>
        <v>#DIV/0!</v>
      </c>
      <c r="N149" s="17"/>
      <c r="O149" s="17"/>
      <c r="P149" s="17"/>
      <c r="Q149" s="17"/>
      <c r="R149" s="17"/>
      <c r="S149" s="17"/>
      <c r="U149" s="17">
        <f t="shared" si="72"/>
        <v>0</v>
      </c>
      <c r="V149" s="17" t="e">
        <f t="shared" si="73"/>
        <v>#DIV/0!</v>
      </c>
      <c r="W149" s="30" t="e">
        <f t="shared" si="74"/>
        <v>#DIV/0!</v>
      </c>
      <c r="X149" s="17" t="e">
        <f t="shared" si="75"/>
        <v>#N/A</v>
      </c>
      <c r="Y149" s="17" t="e">
        <f t="shared" si="76"/>
        <v>#DIV/0!</v>
      </c>
      <c r="Z149" s="17" t="e">
        <f t="shared" si="77"/>
        <v>#N/A</v>
      </c>
      <c r="AA149" s="43" t="e">
        <f t="shared" si="78"/>
        <v>#DIV/0!</v>
      </c>
      <c r="AG149" s="31">
        <f t="shared" si="79"/>
        <v>0</v>
      </c>
      <c r="AH149" s="31">
        <f t="shared" si="80"/>
        <v>0</v>
      </c>
      <c r="AI149" s="28" t="e">
        <f t="shared" si="81"/>
        <v>#N/A</v>
      </c>
      <c r="AJ149" s="28" t="e">
        <f t="shared" si="82"/>
        <v>#N/A</v>
      </c>
      <c r="AK149" s="28" t="e">
        <f t="shared" si="83"/>
        <v>#N/A</v>
      </c>
      <c r="AL149" s="28" t="e">
        <f t="shared" si="84"/>
        <v>#N/A</v>
      </c>
      <c r="AM149" s="28" t="e">
        <f t="shared" si="85"/>
        <v>#N/A</v>
      </c>
      <c r="AN149" s="28" t="e">
        <f t="shared" si="86"/>
        <v>#N/A</v>
      </c>
      <c r="AO149" s="28" t="e">
        <f t="shared" si="87"/>
        <v>#N/A</v>
      </c>
      <c r="AP149" s="28" t="e">
        <f t="shared" si="88"/>
        <v>#N/A</v>
      </c>
      <c r="AQ149" s="28" t="e">
        <f t="shared" si="89"/>
        <v>#N/A</v>
      </c>
      <c r="AR149" s="28" t="e">
        <f t="shared" si="90"/>
        <v>#N/A</v>
      </c>
      <c r="AS149" s="28" t="e">
        <f t="shared" si="91"/>
        <v>#N/A</v>
      </c>
      <c r="AT149" s="28" t="e">
        <f t="shared" si="92"/>
        <v>#N/A</v>
      </c>
      <c r="AV149" s="31" t="e">
        <f>IF(O149&gt;MAX($V$4:$AE$4),MAX($V$4:$AE$4)-0.1,IF(O149&lt;MIN($V$4:$AE131),MIN($V$4:$AE$4)+0.1,O149))</f>
        <v>#DIV/0!</v>
      </c>
      <c r="AW149" s="31">
        <f t="shared" si="93"/>
        <v>0</v>
      </c>
      <c r="AX149" s="28" t="e">
        <f t="shared" si="94"/>
        <v>#DIV/0!</v>
      </c>
      <c r="AY149" s="28" t="e">
        <f t="shared" si="95"/>
        <v>#DIV/0!</v>
      </c>
      <c r="AZ149" s="28" t="e">
        <f t="shared" si="96"/>
        <v>#DIV/0!</v>
      </c>
      <c r="BA149" s="28" t="e">
        <f t="shared" si="97"/>
        <v>#DIV/0!</v>
      </c>
      <c r="BB149" s="28" t="e">
        <f t="shared" si="98"/>
        <v>#N/A</v>
      </c>
      <c r="BC149" s="28" t="e">
        <f t="shared" si="99"/>
        <v>#N/A</v>
      </c>
      <c r="BD149" s="28" t="e">
        <f t="shared" si="100"/>
        <v>#N/A</v>
      </c>
      <c r="BE149" s="28" t="e">
        <f t="shared" si="101"/>
        <v>#N/A</v>
      </c>
      <c r="BF149" s="28" t="e">
        <f t="shared" si="102"/>
        <v>#DIV/0!</v>
      </c>
      <c r="BG149" s="28" t="e">
        <f t="shared" si="103"/>
        <v>#DIV/0!</v>
      </c>
      <c r="BH149" s="28" t="e">
        <f t="shared" si="104"/>
        <v>#DIV/0!</v>
      </c>
      <c r="BI149" s="28" t="e">
        <f t="shared" si="105"/>
        <v>#DIV/0!</v>
      </c>
    </row>
    <row r="150" spans="2:61" ht="75" customHeight="1" x14ac:dyDescent="0.25">
      <c r="B150" s="17"/>
      <c r="C150" s="17"/>
      <c r="D150" s="17"/>
      <c r="E150" s="17"/>
      <c r="F150" s="17"/>
      <c r="G150" s="17"/>
      <c r="H150" s="65"/>
      <c r="I150" s="17"/>
      <c r="J150" s="17"/>
      <c r="K150" s="17"/>
      <c r="L150" s="17"/>
      <c r="M150" s="17" t="e">
        <f t="shared" ref="M150:M200" si="106">L150/J150</f>
        <v>#DIV/0!</v>
      </c>
      <c r="N150" s="17"/>
      <c r="O150" s="17"/>
      <c r="P150" s="17"/>
      <c r="Q150" s="17"/>
      <c r="R150" s="17"/>
      <c r="S150" s="17"/>
      <c r="U150" s="17">
        <f t="shared" si="72"/>
        <v>0</v>
      </c>
      <c r="V150" s="17" t="e">
        <f t="shared" si="73"/>
        <v>#DIV/0!</v>
      </c>
      <c r="W150" s="30" t="e">
        <f t="shared" si="74"/>
        <v>#DIV/0!</v>
      </c>
      <c r="X150" s="17" t="e">
        <f t="shared" si="75"/>
        <v>#N/A</v>
      </c>
      <c r="Y150" s="17" t="e">
        <f t="shared" si="76"/>
        <v>#DIV/0!</v>
      </c>
      <c r="Z150" s="17" t="e">
        <f t="shared" si="77"/>
        <v>#N/A</v>
      </c>
      <c r="AA150" s="43" t="e">
        <f t="shared" si="78"/>
        <v>#DIV/0!</v>
      </c>
      <c r="AG150" s="31">
        <f t="shared" si="79"/>
        <v>0</v>
      </c>
      <c r="AH150" s="31">
        <f t="shared" si="80"/>
        <v>0</v>
      </c>
      <c r="AI150" s="28" t="e">
        <f t="shared" si="81"/>
        <v>#N/A</v>
      </c>
      <c r="AJ150" s="28" t="e">
        <f t="shared" si="82"/>
        <v>#N/A</v>
      </c>
      <c r="AK150" s="28" t="e">
        <f t="shared" si="83"/>
        <v>#N/A</v>
      </c>
      <c r="AL150" s="28" t="e">
        <f t="shared" si="84"/>
        <v>#N/A</v>
      </c>
      <c r="AM150" s="28" t="e">
        <f t="shared" si="85"/>
        <v>#N/A</v>
      </c>
      <c r="AN150" s="28" t="e">
        <f t="shared" si="86"/>
        <v>#N/A</v>
      </c>
      <c r="AO150" s="28" t="e">
        <f t="shared" si="87"/>
        <v>#N/A</v>
      </c>
      <c r="AP150" s="28" t="e">
        <f t="shared" si="88"/>
        <v>#N/A</v>
      </c>
      <c r="AQ150" s="28" t="e">
        <f t="shared" si="89"/>
        <v>#N/A</v>
      </c>
      <c r="AR150" s="28" t="e">
        <f t="shared" si="90"/>
        <v>#N/A</v>
      </c>
      <c r="AS150" s="28" t="e">
        <f t="shared" si="91"/>
        <v>#N/A</v>
      </c>
      <c r="AT150" s="28" t="e">
        <f t="shared" si="92"/>
        <v>#N/A</v>
      </c>
      <c r="AV150" s="31" t="e">
        <f>IF(O150&gt;MAX($V$4:$AE$4),MAX($V$4:$AE$4)-0.1,IF(O150&lt;MIN($V$4:$AE132),MIN($V$4:$AE$4)+0.1,O150))</f>
        <v>#DIV/0!</v>
      </c>
      <c r="AW150" s="31">
        <f t="shared" si="93"/>
        <v>0</v>
      </c>
      <c r="AX150" s="28" t="e">
        <f t="shared" si="94"/>
        <v>#DIV/0!</v>
      </c>
      <c r="AY150" s="28" t="e">
        <f t="shared" si="95"/>
        <v>#DIV/0!</v>
      </c>
      <c r="AZ150" s="28" t="e">
        <f t="shared" si="96"/>
        <v>#DIV/0!</v>
      </c>
      <c r="BA150" s="28" t="e">
        <f t="shared" si="97"/>
        <v>#DIV/0!</v>
      </c>
      <c r="BB150" s="28" t="e">
        <f t="shared" si="98"/>
        <v>#N/A</v>
      </c>
      <c r="BC150" s="28" t="e">
        <f t="shared" si="99"/>
        <v>#N/A</v>
      </c>
      <c r="BD150" s="28" t="e">
        <f t="shared" si="100"/>
        <v>#N/A</v>
      </c>
      <c r="BE150" s="28" t="e">
        <f t="shared" si="101"/>
        <v>#N/A</v>
      </c>
      <c r="BF150" s="28" t="e">
        <f t="shared" si="102"/>
        <v>#DIV/0!</v>
      </c>
      <c r="BG150" s="28" t="e">
        <f t="shared" si="103"/>
        <v>#DIV/0!</v>
      </c>
      <c r="BH150" s="28" t="e">
        <f t="shared" si="104"/>
        <v>#DIV/0!</v>
      </c>
      <c r="BI150" s="28" t="e">
        <f t="shared" si="105"/>
        <v>#DIV/0!</v>
      </c>
    </row>
    <row r="151" spans="2:61" ht="75" customHeight="1" x14ac:dyDescent="0.25">
      <c r="B151" s="17"/>
      <c r="C151" s="17"/>
      <c r="D151" s="17"/>
      <c r="E151" s="17"/>
      <c r="F151" s="17"/>
      <c r="G151" s="17"/>
      <c r="H151" s="65"/>
      <c r="I151" s="17"/>
      <c r="J151" s="17"/>
      <c r="K151" s="17"/>
      <c r="L151" s="17"/>
      <c r="M151" s="17" t="e">
        <f t="shared" si="106"/>
        <v>#DIV/0!</v>
      </c>
      <c r="N151" s="17"/>
      <c r="O151" s="17"/>
      <c r="P151" s="17"/>
      <c r="Q151" s="17"/>
      <c r="R151" s="17"/>
      <c r="S151" s="17"/>
      <c r="U151" s="17">
        <f t="shared" si="72"/>
        <v>0</v>
      </c>
      <c r="V151" s="17" t="e">
        <f t="shared" si="73"/>
        <v>#DIV/0!</v>
      </c>
      <c r="W151" s="30" t="e">
        <f t="shared" si="74"/>
        <v>#DIV/0!</v>
      </c>
      <c r="X151" s="17" t="e">
        <f t="shared" si="75"/>
        <v>#N/A</v>
      </c>
      <c r="Y151" s="17" t="e">
        <f t="shared" si="76"/>
        <v>#DIV/0!</v>
      </c>
      <c r="Z151" s="17" t="e">
        <f t="shared" si="77"/>
        <v>#N/A</v>
      </c>
      <c r="AA151" s="43" t="e">
        <f t="shared" si="78"/>
        <v>#DIV/0!</v>
      </c>
      <c r="AG151" s="31">
        <f t="shared" si="79"/>
        <v>0</v>
      </c>
      <c r="AH151" s="31">
        <f t="shared" si="80"/>
        <v>0</v>
      </c>
      <c r="AI151" s="28" t="e">
        <f t="shared" si="81"/>
        <v>#N/A</v>
      </c>
      <c r="AJ151" s="28" t="e">
        <f t="shared" si="82"/>
        <v>#N/A</v>
      </c>
      <c r="AK151" s="28" t="e">
        <f t="shared" si="83"/>
        <v>#N/A</v>
      </c>
      <c r="AL151" s="28" t="e">
        <f t="shared" si="84"/>
        <v>#N/A</v>
      </c>
      <c r="AM151" s="28" t="e">
        <f t="shared" si="85"/>
        <v>#N/A</v>
      </c>
      <c r="AN151" s="28" t="e">
        <f t="shared" si="86"/>
        <v>#N/A</v>
      </c>
      <c r="AO151" s="28" t="e">
        <f t="shared" si="87"/>
        <v>#N/A</v>
      </c>
      <c r="AP151" s="28" t="e">
        <f t="shared" si="88"/>
        <v>#N/A</v>
      </c>
      <c r="AQ151" s="28" t="e">
        <f t="shared" si="89"/>
        <v>#N/A</v>
      </c>
      <c r="AR151" s="28" t="e">
        <f t="shared" si="90"/>
        <v>#N/A</v>
      </c>
      <c r="AS151" s="28" t="e">
        <f t="shared" si="91"/>
        <v>#N/A</v>
      </c>
      <c r="AT151" s="28" t="e">
        <f t="shared" si="92"/>
        <v>#N/A</v>
      </c>
      <c r="AV151" s="31" t="e">
        <f>IF(O151&gt;MAX($V$4:$AE$4),MAX($V$4:$AE$4)-0.1,IF(O151&lt;MIN($V$4:$AE133),MIN($V$4:$AE$4)+0.1,O151))</f>
        <v>#DIV/0!</v>
      </c>
      <c r="AW151" s="31">
        <f t="shared" si="93"/>
        <v>0</v>
      </c>
      <c r="AX151" s="28" t="e">
        <f t="shared" si="94"/>
        <v>#DIV/0!</v>
      </c>
      <c r="AY151" s="28" t="e">
        <f t="shared" si="95"/>
        <v>#DIV/0!</v>
      </c>
      <c r="AZ151" s="28" t="e">
        <f t="shared" si="96"/>
        <v>#DIV/0!</v>
      </c>
      <c r="BA151" s="28" t="e">
        <f t="shared" si="97"/>
        <v>#DIV/0!</v>
      </c>
      <c r="BB151" s="28" t="e">
        <f t="shared" si="98"/>
        <v>#N/A</v>
      </c>
      <c r="BC151" s="28" t="e">
        <f t="shared" si="99"/>
        <v>#N/A</v>
      </c>
      <c r="BD151" s="28" t="e">
        <f t="shared" si="100"/>
        <v>#N/A</v>
      </c>
      <c r="BE151" s="28" t="e">
        <f t="shared" si="101"/>
        <v>#N/A</v>
      </c>
      <c r="BF151" s="28" t="e">
        <f t="shared" si="102"/>
        <v>#DIV/0!</v>
      </c>
      <c r="BG151" s="28" t="e">
        <f t="shared" si="103"/>
        <v>#DIV/0!</v>
      </c>
      <c r="BH151" s="28" t="e">
        <f t="shared" si="104"/>
        <v>#DIV/0!</v>
      </c>
      <c r="BI151" s="28" t="e">
        <f t="shared" si="105"/>
        <v>#DIV/0!</v>
      </c>
    </row>
    <row r="152" spans="2:61" ht="75" customHeight="1" x14ac:dyDescent="0.25">
      <c r="B152" s="17"/>
      <c r="C152" s="17"/>
      <c r="D152" s="17"/>
      <c r="E152" s="17"/>
      <c r="F152" s="17"/>
      <c r="G152" s="17"/>
      <c r="H152" s="65"/>
      <c r="I152" s="17"/>
      <c r="J152" s="17"/>
      <c r="K152" s="17"/>
      <c r="L152" s="17"/>
      <c r="M152" s="17" t="e">
        <f t="shared" si="106"/>
        <v>#DIV/0!</v>
      </c>
      <c r="N152" s="17"/>
      <c r="O152" s="17"/>
      <c r="P152" s="17"/>
      <c r="Q152" s="17"/>
      <c r="R152" s="17"/>
      <c r="S152" s="17"/>
      <c r="U152" s="17">
        <f t="shared" si="72"/>
        <v>0</v>
      </c>
      <c r="V152" s="17" t="e">
        <f t="shared" si="73"/>
        <v>#DIV/0!</v>
      </c>
      <c r="W152" s="30" t="e">
        <f t="shared" si="74"/>
        <v>#DIV/0!</v>
      </c>
      <c r="X152" s="17" t="e">
        <f t="shared" si="75"/>
        <v>#N/A</v>
      </c>
      <c r="Y152" s="17" t="e">
        <f t="shared" si="76"/>
        <v>#DIV/0!</v>
      </c>
      <c r="Z152" s="17" t="e">
        <f t="shared" si="77"/>
        <v>#N/A</v>
      </c>
      <c r="AA152" s="43" t="e">
        <f t="shared" si="78"/>
        <v>#DIV/0!</v>
      </c>
      <c r="AG152" s="31">
        <f t="shared" si="79"/>
        <v>0</v>
      </c>
      <c r="AH152" s="31">
        <f t="shared" si="80"/>
        <v>0</v>
      </c>
      <c r="AI152" s="28" t="e">
        <f t="shared" si="81"/>
        <v>#N/A</v>
      </c>
      <c r="AJ152" s="28" t="e">
        <f t="shared" si="82"/>
        <v>#N/A</v>
      </c>
      <c r="AK152" s="28" t="e">
        <f t="shared" si="83"/>
        <v>#N/A</v>
      </c>
      <c r="AL152" s="28" t="e">
        <f t="shared" si="84"/>
        <v>#N/A</v>
      </c>
      <c r="AM152" s="28" t="e">
        <f t="shared" si="85"/>
        <v>#N/A</v>
      </c>
      <c r="AN152" s="28" t="e">
        <f t="shared" si="86"/>
        <v>#N/A</v>
      </c>
      <c r="AO152" s="28" t="e">
        <f t="shared" si="87"/>
        <v>#N/A</v>
      </c>
      <c r="AP152" s="28" t="e">
        <f t="shared" si="88"/>
        <v>#N/A</v>
      </c>
      <c r="AQ152" s="28" t="e">
        <f t="shared" si="89"/>
        <v>#N/A</v>
      </c>
      <c r="AR152" s="28" t="e">
        <f t="shared" si="90"/>
        <v>#N/A</v>
      </c>
      <c r="AS152" s="28" t="e">
        <f t="shared" si="91"/>
        <v>#N/A</v>
      </c>
      <c r="AT152" s="28" t="e">
        <f t="shared" si="92"/>
        <v>#N/A</v>
      </c>
      <c r="AV152" s="31" t="e">
        <f>IF(O152&gt;MAX($V$4:$AE$4),MAX($V$4:$AE$4)-0.1,IF(O152&lt;MIN($V$4:$AE134),MIN($V$4:$AE$4)+0.1,O152))</f>
        <v>#DIV/0!</v>
      </c>
      <c r="AW152" s="31">
        <f t="shared" si="93"/>
        <v>0</v>
      </c>
      <c r="AX152" s="28" t="e">
        <f t="shared" si="94"/>
        <v>#DIV/0!</v>
      </c>
      <c r="AY152" s="28" t="e">
        <f t="shared" si="95"/>
        <v>#DIV/0!</v>
      </c>
      <c r="AZ152" s="28" t="e">
        <f t="shared" si="96"/>
        <v>#DIV/0!</v>
      </c>
      <c r="BA152" s="28" t="e">
        <f t="shared" si="97"/>
        <v>#DIV/0!</v>
      </c>
      <c r="BB152" s="28" t="e">
        <f t="shared" si="98"/>
        <v>#N/A</v>
      </c>
      <c r="BC152" s="28" t="e">
        <f t="shared" si="99"/>
        <v>#N/A</v>
      </c>
      <c r="BD152" s="28" t="e">
        <f t="shared" si="100"/>
        <v>#N/A</v>
      </c>
      <c r="BE152" s="28" t="e">
        <f t="shared" si="101"/>
        <v>#N/A</v>
      </c>
      <c r="BF152" s="28" t="e">
        <f t="shared" si="102"/>
        <v>#DIV/0!</v>
      </c>
      <c r="BG152" s="28" t="e">
        <f t="shared" si="103"/>
        <v>#DIV/0!</v>
      </c>
      <c r="BH152" s="28" t="e">
        <f t="shared" si="104"/>
        <v>#DIV/0!</v>
      </c>
      <c r="BI152" s="28" t="e">
        <f t="shared" si="105"/>
        <v>#DIV/0!</v>
      </c>
    </row>
    <row r="153" spans="2:61" ht="75" customHeight="1" x14ac:dyDescent="0.25">
      <c r="B153" s="17"/>
      <c r="C153" s="17"/>
      <c r="D153" s="17"/>
      <c r="E153" s="17"/>
      <c r="F153" s="17"/>
      <c r="G153" s="17"/>
      <c r="H153" s="65"/>
      <c r="I153" s="17"/>
      <c r="J153" s="17"/>
      <c r="K153" s="17"/>
      <c r="L153" s="17"/>
      <c r="M153" s="17" t="e">
        <f t="shared" si="106"/>
        <v>#DIV/0!</v>
      </c>
      <c r="N153" s="17"/>
      <c r="O153" s="17"/>
      <c r="P153" s="17"/>
      <c r="Q153" s="17"/>
      <c r="R153" s="17"/>
      <c r="S153" s="17"/>
      <c r="U153" s="17">
        <f t="shared" si="72"/>
        <v>0</v>
      </c>
      <c r="V153" s="17" t="e">
        <f t="shared" si="73"/>
        <v>#DIV/0!</v>
      </c>
      <c r="W153" s="30" t="e">
        <f t="shared" si="74"/>
        <v>#DIV/0!</v>
      </c>
      <c r="X153" s="17" t="e">
        <f t="shared" si="75"/>
        <v>#N/A</v>
      </c>
      <c r="Y153" s="17" t="e">
        <f t="shared" si="76"/>
        <v>#DIV/0!</v>
      </c>
      <c r="Z153" s="17" t="e">
        <f t="shared" si="77"/>
        <v>#N/A</v>
      </c>
      <c r="AA153" s="43" t="e">
        <f t="shared" si="78"/>
        <v>#DIV/0!</v>
      </c>
      <c r="AG153" s="31">
        <f t="shared" si="79"/>
        <v>0</v>
      </c>
      <c r="AH153" s="31">
        <f t="shared" si="80"/>
        <v>0</v>
      </c>
      <c r="AI153" s="28" t="e">
        <f t="shared" si="81"/>
        <v>#N/A</v>
      </c>
      <c r="AJ153" s="28" t="e">
        <f t="shared" si="82"/>
        <v>#N/A</v>
      </c>
      <c r="AK153" s="28" t="e">
        <f t="shared" si="83"/>
        <v>#N/A</v>
      </c>
      <c r="AL153" s="28" t="e">
        <f t="shared" si="84"/>
        <v>#N/A</v>
      </c>
      <c r="AM153" s="28" t="e">
        <f t="shared" si="85"/>
        <v>#N/A</v>
      </c>
      <c r="AN153" s="28" t="e">
        <f t="shared" si="86"/>
        <v>#N/A</v>
      </c>
      <c r="AO153" s="28" t="e">
        <f t="shared" si="87"/>
        <v>#N/A</v>
      </c>
      <c r="AP153" s="28" t="e">
        <f t="shared" si="88"/>
        <v>#N/A</v>
      </c>
      <c r="AQ153" s="28" t="e">
        <f t="shared" si="89"/>
        <v>#N/A</v>
      </c>
      <c r="AR153" s="28" t="e">
        <f t="shared" si="90"/>
        <v>#N/A</v>
      </c>
      <c r="AS153" s="28" t="e">
        <f t="shared" si="91"/>
        <v>#N/A</v>
      </c>
      <c r="AT153" s="28" t="e">
        <f t="shared" si="92"/>
        <v>#N/A</v>
      </c>
      <c r="AV153" s="31" t="e">
        <f>IF(O153&gt;MAX($V$4:$AE$4),MAX($V$4:$AE$4)-0.1,IF(O153&lt;MIN($V$4:$AE135),MIN($V$4:$AE$4)+0.1,O153))</f>
        <v>#DIV/0!</v>
      </c>
      <c r="AW153" s="31">
        <f t="shared" si="93"/>
        <v>0</v>
      </c>
      <c r="AX153" s="28" t="e">
        <f t="shared" si="94"/>
        <v>#DIV/0!</v>
      </c>
      <c r="AY153" s="28" t="e">
        <f t="shared" si="95"/>
        <v>#DIV/0!</v>
      </c>
      <c r="AZ153" s="28" t="e">
        <f t="shared" si="96"/>
        <v>#DIV/0!</v>
      </c>
      <c r="BA153" s="28" t="e">
        <f t="shared" si="97"/>
        <v>#DIV/0!</v>
      </c>
      <c r="BB153" s="28" t="e">
        <f t="shared" si="98"/>
        <v>#N/A</v>
      </c>
      <c r="BC153" s="28" t="e">
        <f t="shared" si="99"/>
        <v>#N/A</v>
      </c>
      <c r="BD153" s="28" t="e">
        <f t="shared" si="100"/>
        <v>#N/A</v>
      </c>
      <c r="BE153" s="28" t="e">
        <f t="shared" si="101"/>
        <v>#N/A</v>
      </c>
      <c r="BF153" s="28" t="e">
        <f t="shared" si="102"/>
        <v>#DIV/0!</v>
      </c>
      <c r="BG153" s="28" t="e">
        <f t="shared" si="103"/>
        <v>#DIV/0!</v>
      </c>
      <c r="BH153" s="28" t="e">
        <f t="shared" si="104"/>
        <v>#DIV/0!</v>
      </c>
      <c r="BI153" s="28" t="e">
        <f t="shared" si="105"/>
        <v>#DIV/0!</v>
      </c>
    </row>
    <row r="154" spans="2:61" ht="75" customHeight="1" x14ac:dyDescent="0.25">
      <c r="B154" s="17"/>
      <c r="C154" s="17"/>
      <c r="D154" s="17"/>
      <c r="E154" s="17"/>
      <c r="F154" s="17"/>
      <c r="G154" s="17"/>
      <c r="H154" s="65"/>
      <c r="I154" s="17"/>
      <c r="J154" s="17"/>
      <c r="K154" s="17"/>
      <c r="L154" s="17"/>
      <c r="M154" s="17" t="e">
        <f t="shared" si="106"/>
        <v>#DIV/0!</v>
      </c>
      <c r="N154" s="17"/>
      <c r="O154" s="17"/>
      <c r="P154" s="17"/>
      <c r="Q154" s="17"/>
      <c r="R154" s="17"/>
      <c r="S154" s="17"/>
      <c r="U154" s="17">
        <f t="shared" si="72"/>
        <v>0</v>
      </c>
      <c r="V154" s="17" t="e">
        <f t="shared" si="73"/>
        <v>#DIV/0!</v>
      </c>
      <c r="W154" s="30" t="e">
        <f t="shared" si="74"/>
        <v>#DIV/0!</v>
      </c>
      <c r="X154" s="17" t="e">
        <f t="shared" si="75"/>
        <v>#N/A</v>
      </c>
      <c r="Y154" s="17" t="e">
        <f t="shared" si="76"/>
        <v>#DIV/0!</v>
      </c>
      <c r="Z154" s="17" t="e">
        <f t="shared" si="77"/>
        <v>#N/A</v>
      </c>
      <c r="AA154" s="43" t="e">
        <f t="shared" si="78"/>
        <v>#DIV/0!</v>
      </c>
      <c r="AG154" s="31">
        <f t="shared" si="79"/>
        <v>0</v>
      </c>
      <c r="AH154" s="31">
        <f t="shared" si="80"/>
        <v>0</v>
      </c>
      <c r="AI154" s="28" t="e">
        <f t="shared" si="81"/>
        <v>#N/A</v>
      </c>
      <c r="AJ154" s="28" t="e">
        <f t="shared" si="82"/>
        <v>#N/A</v>
      </c>
      <c r="AK154" s="28" t="e">
        <f t="shared" si="83"/>
        <v>#N/A</v>
      </c>
      <c r="AL154" s="28" t="e">
        <f t="shared" si="84"/>
        <v>#N/A</v>
      </c>
      <c r="AM154" s="28" t="e">
        <f t="shared" si="85"/>
        <v>#N/A</v>
      </c>
      <c r="AN154" s="28" t="e">
        <f t="shared" si="86"/>
        <v>#N/A</v>
      </c>
      <c r="AO154" s="28" t="e">
        <f t="shared" si="87"/>
        <v>#N/A</v>
      </c>
      <c r="AP154" s="28" t="e">
        <f t="shared" si="88"/>
        <v>#N/A</v>
      </c>
      <c r="AQ154" s="28" t="e">
        <f t="shared" si="89"/>
        <v>#N/A</v>
      </c>
      <c r="AR154" s="28" t="e">
        <f t="shared" si="90"/>
        <v>#N/A</v>
      </c>
      <c r="AS154" s="28" t="e">
        <f t="shared" si="91"/>
        <v>#N/A</v>
      </c>
      <c r="AT154" s="28" t="e">
        <f t="shared" si="92"/>
        <v>#N/A</v>
      </c>
      <c r="AV154" s="31" t="e">
        <f>IF(O154&gt;MAX($V$4:$AE$4),MAX($V$4:$AE$4)-0.1,IF(O154&lt;MIN($V$4:$AE136),MIN($V$4:$AE$4)+0.1,O154))</f>
        <v>#DIV/0!</v>
      </c>
      <c r="AW154" s="31">
        <f t="shared" si="93"/>
        <v>0</v>
      </c>
      <c r="AX154" s="28" t="e">
        <f t="shared" si="94"/>
        <v>#DIV/0!</v>
      </c>
      <c r="AY154" s="28" t="e">
        <f t="shared" si="95"/>
        <v>#DIV/0!</v>
      </c>
      <c r="AZ154" s="28" t="e">
        <f t="shared" si="96"/>
        <v>#DIV/0!</v>
      </c>
      <c r="BA154" s="28" t="e">
        <f t="shared" si="97"/>
        <v>#DIV/0!</v>
      </c>
      <c r="BB154" s="28" t="e">
        <f t="shared" si="98"/>
        <v>#N/A</v>
      </c>
      <c r="BC154" s="28" t="e">
        <f t="shared" si="99"/>
        <v>#N/A</v>
      </c>
      <c r="BD154" s="28" t="e">
        <f t="shared" si="100"/>
        <v>#N/A</v>
      </c>
      <c r="BE154" s="28" t="e">
        <f t="shared" si="101"/>
        <v>#N/A</v>
      </c>
      <c r="BF154" s="28" t="e">
        <f t="shared" si="102"/>
        <v>#DIV/0!</v>
      </c>
      <c r="BG154" s="28" t="e">
        <f t="shared" si="103"/>
        <v>#DIV/0!</v>
      </c>
      <c r="BH154" s="28" t="e">
        <f t="shared" si="104"/>
        <v>#DIV/0!</v>
      </c>
      <c r="BI154" s="28" t="e">
        <f t="shared" si="105"/>
        <v>#DIV/0!</v>
      </c>
    </row>
    <row r="155" spans="2:61" ht="75" customHeight="1" x14ac:dyDescent="0.25">
      <c r="B155" s="17"/>
      <c r="C155" s="17"/>
      <c r="D155" s="17"/>
      <c r="E155" s="17"/>
      <c r="F155" s="17"/>
      <c r="G155" s="17"/>
      <c r="H155" s="65"/>
      <c r="I155" s="17"/>
      <c r="J155" s="17"/>
      <c r="K155" s="17"/>
      <c r="L155" s="17"/>
      <c r="M155" s="17" t="e">
        <f t="shared" si="106"/>
        <v>#DIV/0!</v>
      </c>
      <c r="N155" s="17"/>
      <c r="O155" s="17"/>
      <c r="P155" s="17"/>
      <c r="Q155" s="17"/>
      <c r="R155" s="17"/>
      <c r="S155" s="17"/>
      <c r="U155" s="17">
        <f t="shared" si="72"/>
        <v>0</v>
      </c>
      <c r="V155" s="17" t="e">
        <f t="shared" si="73"/>
        <v>#DIV/0!</v>
      </c>
      <c r="W155" s="30" t="e">
        <f t="shared" si="74"/>
        <v>#DIV/0!</v>
      </c>
      <c r="X155" s="17" t="e">
        <f t="shared" si="75"/>
        <v>#N/A</v>
      </c>
      <c r="Y155" s="17" t="e">
        <f t="shared" si="76"/>
        <v>#DIV/0!</v>
      </c>
      <c r="Z155" s="17" t="e">
        <f t="shared" si="77"/>
        <v>#N/A</v>
      </c>
      <c r="AA155" s="43" t="e">
        <f t="shared" si="78"/>
        <v>#DIV/0!</v>
      </c>
      <c r="AG155" s="31">
        <f t="shared" si="79"/>
        <v>0</v>
      </c>
      <c r="AH155" s="31">
        <f t="shared" si="80"/>
        <v>0</v>
      </c>
      <c r="AI155" s="28" t="e">
        <f t="shared" si="81"/>
        <v>#N/A</v>
      </c>
      <c r="AJ155" s="28" t="e">
        <f t="shared" si="82"/>
        <v>#N/A</v>
      </c>
      <c r="AK155" s="28" t="e">
        <f t="shared" si="83"/>
        <v>#N/A</v>
      </c>
      <c r="AL155" s="28" t="e">
        <f t="shared" si="84"/>
        <v>#N/A</v>
      </c>
      <c r="AM155" s="28" t="e">
        <f t="shared" si="85"/>
        <v>#N/A</v>
      </c>
      <c r="AN155" s="28" t="e">
        <f t="shared" si="86"/>
        <v>#N/A</v>
      </c>
      <c r="AO155" s="28" t="e">
        <f t="shared" si="87"/>
        <v>#N/A</v>
      </c>
      <c r="AP155" s="28" t="e">
        <f t="shared" si="88"/>
        <v>#N/A</v>
      </c>
      <c r="AQ155" s="28" t="e">
        <f t="shared" si="89"/>
        <v>#N/A</v>
      </c>
      <c r="AR155" s="28" t="e">
        <f t="shared" si="90"/>
        <v>#N/A</v>
      </c>
      <c r="AS155" s="28" t="e">
        <f t="shared" si="91"/>
        <v>#N/A</v>
      </c>
      <c r="AT155" s="28" t="e">
        <f t="shared" si="92"/>
        <v>#N/A</v>
      </c>
      <c r="AV155" s="31" t="e">
        <f>IF(O155&gt;MAX($V$4:$AE$4),MAX($V$4:$AE$4)-0.1,IF(O155&lt;MIN($V$4:$AE137),MIN($V$4:$AE$4)+0.1,O155))</f>
        <v>#DIV/0!</v>
      </c>
      <c r="AW155" s="31">
        <f t="shared" si="93"/>
        <v>0</v>
      </c>
      <c r="AX155" s="28" t="e">
        <f t="shared" si="94"/>
        <v>#DIV/0!</v>
      </c>
      <c r="AY155" s="28" t="e">
        <f t="shared" si="95"/>
        <v>#DIV/0!</v>
      </c>
      <c r="AZ155" s="28" t="e">
        <f t="shared" si="96"/>
        <v>#DIV/0!</v>
      </c>
      <c r="BA155" s="28" t="e">
        <f t="shared" si="97"/>
        <v>#DIV/0!</v>
      </c>
      <c r="BB155" s="28" t="e">
        <f t="shared" si="98"/>
        <v>#N/A</v>
      </c>
      <c r="BC155" s="28" t="e">
        <f t="shared" si="99"/>
        <v>#N/A</v>
      </c>
      <c r="BD155" s="28" t="e">
        <f t="shared" si="100"/>
        <v>#N/A</v>
      </c>
      <c r="BE155" s="28" t="e">
        <f t="shared" si="101"/>
        <v>#N/A</v>
      </c>
      <c r="BF155" s="28" t="e">
        <f t="shared" si="102"/>
        <v>#DIV/0!</v>
      </c>
      <c r="BG155" s="28" t="e">
        <f t="shared" si="103"/>
        <v>#DIV/0!</v>
      </c>
      <c r="BH155" s="28" t="e">
        <f t="shared" si="104"/>
        <v>#DIV/0!</v>
      </c>
      <c r="BI155" s="28" t="e">
        <f t="shared" si="105"/>
        <v>#DIV/0!</v>
      </c>
    </row>
    <row r="156" spans="2:61" ht="75" customHeight="1" x14ac:dyDescent="0.25">
      <c r="B156" s="17"/>
      <c r="C156" s="17"/>
      <c r="D156" s="17"/>
      <c r="E156" s="17"/>
      <c r="F156" s="17"/>
      <c r="G156" s="17"/>
      <c r="H156" s="65"/>
      <c r="I156" s="17"/>
      <c r="J156" s="17"/>
      <c r="K156" s="17"/>
      <c r="L156" s="17"/>
      <c r="M156" s="17" t="e">
        <f t="shared" si="106"/>
        <v>#DIV/0!</v>
      </c>
      <c r="N156" s="17"/>
      <c r="O156" s="17"/>
      <c r="P156" s="17"/>
      <c r="Q156" s="17"/>
      <c r="R156" s="17"/>
      <c r="S156" s="17"/>
      <c r="U156" s="17">
        <f t="shared" si="72"/>
        <v>0</v>
      </c>
      <c r="V156" s="17" t="e">
        <f t="shared" si="73"/>
        <v>#DIV/0!</v>
      </c>
      <c r="W156" s="30" t="e">
        <f t="shared" si="74"/>
        <v>#DIV/0!</v>
      </c>
      <c r="X156" s="17" t="e">
        <f t="shared" si="75"/>
        <v>#N/A</v>
      </c>
      <c r="Y156" s="17" t="e">
        <f t="shared" si="76"/>
        <v>#DIV/0!</v>
      </c>
      <c r="Z156" s="17" t="e">
        <f t="shared" si="77"/>
        <v>#N/A</v>
      </c>
      <c r="AA156" s="43" t="e">
        <f t="shared" si="78"/>
        <v>#DIV/0!</v>
      </c>
      <c r="AG156" s="31">
        <f t="shared" si="79"/>
        <v>0</v>
      </c>
      <c r="AH156" s="31">
        <f t="shared" si="80"/>
        <v>0</v>
      </c>
      <c r="AI156" s="28" t="e">
        <f t="shared" si="81"/>
        <v>#N/A</v>
      </c>
      <c r="AJ156" s="28" t="e">
        <f t="shared" si="82"/>
        <v>#N/A</v>
      </c>
      <c r="AK156" s="28" t="e">
        <f t="shared" si="83"/>
        <v>#N/A</v>
      </c>
      <c r="AL156" s="28" t="e">
        <f t="shared" si="84"/>
        <v>#N/A</v>
      </c>
      <c r="AM156" s="28" t="e">
        <f t="shared" si="85"/>
        <v>#N/A</v>
      </c>
      <c r="AN156" s="28" t="e">
        <f t="shared" si="86"/>
        <v>#N/A</v>
      </c>
      <c r="AO156" s="28" t="e">
        <f t="shared" si="87"/>
        <v>#N/A</v>
      </c>
      <c r="AP156" s="28" t="e">
        <f t="shared" si="88"/>
        <v>#N/A</v>
      </c>
      <c r="AQ156" s="28" t="e">
        <f t="shared" si="89"/>
        <v>#N/A</v>
      </c>
      <c r="AR156" s="28" t="e">
        <f t="shared" si="90"/>
        <v>#N/A</v>
      </c>
      <c r="AS156" s="28" t="e">
        <f t="shared" si="91"/>
        <v>#N/A</v>
      </c>
      <c r="AT156" s="28" t="e">
        <f t="shared" si="92"/>
        <v>#N/A</v>
      </c>
      <c r="AV156" s="31" t="e">
        <f>IF(O156&gt;MAX($V$4:$AE$4),MAX($V$4:$AE$4)-0.1,IF(O156&lt;MIN($V$4:$AE138),MIN($V$4:$AE$4)+0.1,O156))</f>
        <v>#DIV/0!</v>
      </c>
      <c r="AW156" s="31">
        <f t="shared" si="93"/>
        <v>0</v>
      </c>
      <c r="AX156" s="28" t="e">
        <f t="shared" si="94"/>
        <v>#DIV/0!</v>
      </c>
      <c r="AY156" s="28" t="e">
        <f t="shared" si="95"/>
        <v>#DIV/0!</v>
      </c>
      <c r="AZ156" s="28" t="e">
        <f t="shared" si="96"/>
        <v>#DIV/0!</v>
      </c>
      <c r="BA156" s="28" t="e">
        <f t="shared" si="97"/>
        <v>#DIV/0!</v>
      </c>
      <c r="BB156" s="28" t="e">
        <f t="shared" si="98"/>
        <v>#N/A</v>
      </c>
      <c r="BC156" s="28" t="e">
        <f t="shared" si="99"/>
        <v>#N/A</v>
      </c>
      <c r="BD156" s="28" t="e">
        <f t="shared" si="100"/>
        <v>#N/A</v>
      </c>
      <c r="BE156" s="28" t="e">
        <f t="shared" si="101"/>
        <v>#N/A</v>
      </c>
      <c r="BF156" s="28" t="e">
        <f t="shared" si="102"/>
        <v>#DIV/0!</v>
      </c>
      <c r="BG156" s="28" t="e">
        <f t="shared" si="103"/>
        <v>#DIV/0!</v>
      </c>
      <c r="BH156" s="28" t="e">
        <f t="shared" si="104"/>
        <v>#DIV/0!</v>
      </c>
      <c r="BI156" s="28" t="e">
        <f t="shared" si="105"/>
        <v>#DIV/0!</v>
      </c>
    </row>
    <row r="157" spans="2:61" ht="75" customHeight="1" x14ac:dyDescent="0.25">
      <c r="B157" s="17"/>
      <c r="C157" s="17"/>
      <c r="D157" s="17"/>
      <c r="E157" s="17"/>
      <c r="F157" s="17"/>
      <c r="G157" s="17"/>
      <c r="H157" s="65"/>
      <c r="I157" s="17"/>
      <c r="J157" s="17"/>
      <c r="K157" s="17"/>
      <c r="L157" s="17"/>
      <c r="M157" s="17" t="e">
        <f t="shared" si="106"/>
        <v>#DIV/0!</v>
      </c>
      <c r="N157" s="17"/>
      <c r="O157" s="17"/>
      <c r="P157" s="17"/>
      <c r="Q157" s="17"/>
      <c r="R157" s="17"/>
      <c r="S157" s="17"/>
      <c r="U157" s="17">
        <f t="shared" si="72"/>
        <v>0</v>
      </c>
      <c r="V157" s="17" t="e">
        <f t="shared" si="73"/>
        <v>#DIV/0!</v>
      </c>
      <c r="W157" s="30" t="e">
        <f t="shared" si="74"/>
        <v>#DIV/0!</v>
      </c>
      <c r="X157" s="17" t="e">
        <f t="shared" si="75"/>
        <v>#N/A</v>
      </c>
      <c r="Y157" s="17" t="e">
        <f t="shared" si="76"/>
        <v>#DIV/0!</v>
      </c>
      <c r="Z157" s="17" t="e">
        <f t="shared" si="77"/>
        <v>#N/A</v>
      </c>
      <c r="AA157" s="43" t="e">
        <f t="shared" si="78"/>
        <v>#DIV/0!</v>
      </c>
      <c r="AG157" s="31">
        <f t="shared" si="79"/>
        <v>0</v>
      </c>
      <c r="AH157" s="31">
        <f t="shared" si="80"/>
        <v>0</v>
      </c>
      <c r="AI157" s="28" t="e">
        <f t="shared" si="81"/>
        <v>#N/A</v>
      </c>
      <c r="AJ157" s="28" t="e">
        <f t="shared" si="82"/>
        <v>#N/A</v>
      </c>
      <c r="AK157" s="28" t="e">
        <f t="shared" si="83"/>
        <v>#N/A</v>
      </c>
      <c r="AL157" s="28" t="e">
        <f t="shared" si="84"/>
        <v>#N/A</v>
      </c>
      <c r="AM157" s="28" t="e">
        <f t="shared" si="85"/>
        <v>#N/A</v>
      </c>
      <c r="AN157" s="28" t="e">
        <f t="shared" si="86"/>
        <v>#N/A</v>
      </c>
      <c r="AO157" s="28" t="e">
        <f t="shared" si="87"/>
        <v>#N/A</v>
      </c>
      <c r="AP157" s="28" t="e">
        <f t="shared" si="88"/>
        <v>#N/A</v>
      </c>
      <c r="AQ157" s="28" t="e">
        <f t="shared" si="89"/>
        <v>#N/A</v>
      </c>
      <c r="AR157" s="28" t="e">
        <f t="shared" si="90"/>
        <v>#N/A</v>
      </c>
      <c r="AS157" s="28" t="e">
        <f t="shared" si="91"/>
        <v>#N/A</v>
      </c>
      <c r="AT157" s="28" t="e">
        <f t="shared" si="92"/>
        <v>#N/A</v>
      </c>
      <c r="AV157" s="31" t="e">
        <f>IF(O157&gt;MAX($V$4:$AE$4),MAX($V$4:$AE$4)-0.1,IF(O157&lt;MIN($V$4:$AE139),MIN($V$4:$AE$4)+0.1,O157))</f>
        <v>#DIV/0!</v>
      </c>
      <c r="AW157" s="31">
        <f t="shared" si="93"/>
        <v>0</v>
      </c>
      <c r="AX157" s="28" t="e">
        <f t="shared" si="94"/>
        <v>#DIV/0!</v>
      </c>
      <c r="AY157" s="28" t="e">
        <f t="shared" si="95"/>
        <v>#DIV/0!</v>
      </c>
      <c r="AZ157" s="28" t="e">
        <f t="shared" si="96"/>
        <v>#DIV/0!</v>
      </c>
      <c r="BA157" s="28" t="e">
        <f t="shared" si="97"/>
        <v>#DIV/0!</v>
      </c>
      <c r="BB157" s="28" t="e">
        <f t="shared" si="98"/>
        <v>#N/A</v>
      </c>
      <c r="BC157" s="28" t="e">
        <f t="shared" si="99"/>
        <v>#N/A</v>
      </c>
      <c r="BD157" s="28" t="e">
        <f t="shared" si="100"/>
        <v>#N/A</v>
      </c>
      <c r="BE157" s="28" t="e">
        <f t="shared" si="101"/>
        <v>#N/A</v>
      </c>
      <c r="BF157" s="28" t="e">
        <f t="shared" si="102"/>
        <v>#DIV/0!</v>
      </c>
      <c r="BG157" s="28" t="e">
        <f t="shared" si="103"/>
        <v>#DIV/0!</v>
      </c>
      <c r="BH157" s="28" t="e">
        <f t="shared" si="104"/>
        <v>#DIV/0!</v>
      </c>
      <c r="BI157" s="28" t="e">
        <f t="shared" si="105"/>
        <v>#DIV/0!</v>
      </c>
    </row>
    <row r="158" spans="2:61" ht="75" customHeight="1" x14ac:dyDescent="0.25">
      <c r="B158" s="17"/>
      <c r="C158" s="17"/>
      <c r="D158" s="17"/>
      <c r="E158" s="17"/>
      <c r="F158" s="17"/>
      <c r="G158" s="17"/>
      <c r="H158" s="65"/>
      <c r="I158" s="17"/>
      <c r="J158" s="17"/>
      <c r="K158" s="17"/>
      <c r="L158" s="17"/>
      <c r="M158" s="17" t="e">
        <f t="shared" si="106"/>
        <v>#DIV/0!</v>
      </c>
      <c r="N158" s="17"/>
      <c r="O158" s="17"/>
      <c r="P158" s="17"/>
      <c r="Q158" s="17"/>
      <c r="R158" s="17"/>
      <c r="S158" s="17"/>
      <c r="U158" s="17">
        <f t="shared" si="72"/>
        <v>0</v>
      </c>
      <c r="V158" s="17" t="e">
        <f t="shared" si="73"/>
        <v>#DIV/0!</v>
      </c>
      <c r="W158" s="30" t="e">
        <f t="shared" si="74"/>
        <v>#DIV/0!</v>
      </c>
      <c r="X158" s="17" t="e">
        <f t="shared" si="75"/>
        <v>#N/A</v>
      </c>
      <c r="Y158" s="17" t="e">
        <f t="shared" si="76"/>
        <v>#DIV/0!</v>
      </c>
      <c r="Z158" s="17" t="e">
        <f t="shared" si="77"/>
        <v>#N/A</v>
      </c>
      <c r="AA158" s="43" t="e">
        <f t="shared" si="78"/>
        <v>#DIV/0!</v>
      </c>
      <c r="AG158" s="31">
        <f t="shared" si="79"/>
        <v>0</v>
      </c>
      <c r="AH158" s="31">
        <f t="shared" si="80"/>
        <v>0</v>
      </c>
      <c r="AI158" s="28" t="e">
        <f t="shared" si="81"/>
        <v>#N/A</v>
      </c>
      <c r="AJ158" s="28" t="e">
        <f t="shared" si="82"/>
        <v>#N/A</v>
      </c>
      <c r="AK158" s="28" t="e">
        <f t="shared" si="83"/>
        <v>#N/A</v>
      </c>
      <c r="AL158" s="28" t="e">
        <f t="shared" si="84"/>
        <v>#N/A</v>
      </c>
      <c r="AM158" s="28" t="e">
        <f t="shared" si="85"/>
        <v>#N/A</v>
      </c>
      <c r="AN158" s="28" t="e">
        <f t="shared" si="86"/>
        <v>#N/A</v>
      </c>
      <c r="AO158" s="28" t="e">
        <f t="shared" si="87"/>
        <v>#N/A</v>
      </c>
      <c r="AP158" s="28" t="e">
        <f t="shared" si="88"/>
        <v>#N/A</v>
      </c>
      <c r="AQ158" s="28" t="e">
        <f t="shared" si="89"/>
        <v>#N/A</v>
      </c>
      <c r="AR158" s="28" t="e">
        <f t="shared" si="90"/>
        <v>#N/A</v>
      </c>
      <c r="AS158" s="28" t="e">
        <f t="shared" si="91"/>
        <v>#N/A</v>
      </c>
      <c r="AT158" s="28" t="e">
        <f t="shared" si="92"/>
        <v>#N/A</v>
      </c>
      <c r="AV158" s="31" t="e">
        <f>IF(O158&gt;MAX($V$4:$AE$4),MAX($V$4:$AE$4)-0.1,IF(O158&lt;MIN($V$4:$AE140),MIN($V$4:$AE$4)+0.1,O158))</f>
        <v>#DIV/0!</v>
      </c>
      <c r="AW158" s="31">
        <f t="shared" si="93"/>
        <v>0</v>
      </c>
      <c r="AX158" s="28" t="e">
        <f t="shared" si="94"/>
        <v>#DIV/0!</v>
      </c>
      <c r="AY158" s="28" t="e">
        <f t="shared" si="95"/>
        <v>#DIV/0!</v>
      </c>
      <c r="AZ158" s="28" t="e">
        <f t="shared" si="96"/>
        <v>#DIV/0!</v>
      </c>
      <c r="BA158" s="28" t="e">
        <f t="shared" si="97"/>
        <v>#DIV/0!</v>
      </c>
      <c r="BB158" s="28" t="e">
        <f t="shared" si="98"/>
        <v>#N/A</v>
      </c>
      <c r="BC158" s="28" t="e">
        <f t="shared" si="99"/>
        <v>#N/A</v>
      </c>
      <c r="BD158" s="28" t="e">
        <f t="shared" si="100"/>
        <v>#N/A</v>
      </c>
      <c r="BE158" s="28" t="e">
        <f t="shared" si="101"/>
        <v>#N/A</v>
      </c>
      <c r="BF158" s="28" t="e">
        <f t="shared" si="102"/>
        <v>#DIV/0!</v>
      </c>
      <c r="BG158" s="28" t="e">
        <f t="shared" si="103"/>
        <v>#DIV/0!</v>
      </c>
      <c r="BH158" s="28" t="e">
        <f t="shared" si="104"/>
        <v>#DIV/0!</v>
      </c>
      <c r="BI158" s="28" t="e">
        <f t="shared" si="105"/>
        <v>#DIV/0!</v>
      </c>
    </row>
    <row r="159" spans="2:61" ht="75" customHeight="1" x14ac:dyDescent="0.25">
      <c r="B159" s="17"/>
      <c r="C159" s="17"/>
      <c r="D159" s="17"/>
      <c r="E159" s="17"/>
      <c r="F159" s="17"/>
      <c r="G159" s="17"/>
      <c r="H159" s="65"/>
      <c r="I159" s="17"/>
      <c r="J159" s="17"/>
      <c r="K159" s="17"/>
      <c r="L159" s="17"/>
      <c r="M159" s="17" t="e">
        <f t="shared" si="106"/>
        <v>#DIV/0!</v>
      </c>
      <c r="N159" s="17"/>
      <c r="O159" s="17"/>
      <c r="P159" s="17"/>
      <c r="Q159" s="17"/>
      <c r="R159" s="17"/>
      <c r="S159" s="17"/>
      <c r="U159" s="17">
        <f t="shared" si="72"/>
        <v>0</v>
      </c>
      <c r="V159" s="17" t="e">
        <f t="shared" si="73"/>
        <v>#DIV/0!</v>
      </c>
      <c r="W159" s="30" t="e">
        <f t="shared" si="74"/>
        <v>#DIV/0!</v>
      </c>
      <c r="X159" s="17" t="e">
        <f t="shared" si="75"/>
        <v>#N/A</v>
      </c>
      <c r="Y159" s="17" t="e">
        <f t="shared" si="76"/>
        <v>#DIV/0!</v>
      </c>
      <c r="Z159" s="17" t="e">
        <f t="shared" si="77"/>
        <v>#N/A</v>
      </c>
      <c r="AA159" s="43" t="e">
        <f t="shared" si="78"/>
        <v>#DIV/0!</v>
      </c>
      <c r="AG159" s="31">
        <f t="shared" si="79"/>
        <v>0</v>
      </c>
      <c r="AH159" s="31">
        <f t="shared" si="80"/>
        <v>0</v>
      </c>
      <c r="AI159" s="28" t="e">
        <f t="shared" si="81"/>
        <v>#N/A</v>
      </c>
      <c r="AJ159" s="28" t="e">
        <f t="shared" si="82"/>
        <v>#N/A</v>
      </c>
      <c r="AK159" s="28" t="e">
        <f t="shared" si="83"/>
        <v>#N/A</v>
      </c>
      <c r="AL159" s="28" t="e">
        <f t="shared" si="84"/>
        <v>#N/A</v>
      </c>
      <c r="AM159" s="28" t="e">
        <f t="shared" si="85"/>
        <v>#N/A</v>
      </c>
      <c r="AN159" s="28" t="e">
        <f t="shared" si="86"/>
        <v>#N/A</v>
      </c>
      <c r="AO159" s="28" t="e">
        <f t="shared" si="87"/>
        <v>#N/A</v>
      </c>
      <c r="AP159" s="28" t="e">
        <f t="shared" si="88"/>
        <v>#N/A</v>
      </c>
      <c r="AQ159" s="28" t="e">
        <f t="shared" si="89"/>
        <v>#N/A</v>
      </c>
      <c r="AR159" s="28" t="e">
        <f t="shared" si="90"/>
        <v>#N/A</v>
      </c>
      <c r="AS159" s="28" t="e">
        <f t="shared" si="91"/>
        <v>#N/A</v>
      </c>
      <c r="AT159" s="28" t="e">
        <f t="shared" si="92"/>
        <v>#N/A</v>
      </c>
      <c r="AV159" s="31" t="e">
        <f>IF(O159&gt;MAX($V$4:$AE$4),MAX($V$4:$AE$4)-0.1,IF(O159&lt;MIN($V$4:$AE141),MIN($V$4:$AE$4)+0.1,O159))</f>
        <v>#DIV/0!</v>
      </c>
      <c r="AW159" s="31">
        <f t="shared" si="93"/>
        <v>0</v>
      </c>
      <c r="AX159" s="28" t="e">
        <f t="shared" si="94"/>
        <v>#DIV/0!</v>
      </c>
      <c r="AY159" s="28" t="e">
        <f t="shared" si="95"/>
        <v>#DIV/0!</v>
      </c>
      <c r="AZ159" s="28" t="e">
        <f t="shared" si="96"/>
        <v>#DIV/0!</v>
      </c>
      <c r="BA159" s="28" t="e">
        <f t="shared" si="97"/>
        <v>#DIV/0!</v>
      </c>
      <c r="BB159" s="28" t="e">
        <f t="shared" si="98"/>
        <v>#N/A</v>
      </c>
      <c r="BC159" s="28" t="e">
        <f t="shared" si="99"/>
        <v>#N/A</v>
      </c>
      <c r="BD159" s="28" t="e">
        <f t="shared" si="100"/>
        <v>#N/A</v>
      </c>
      <c r="BE159" s="28" t="e">
        <f t="shared" si="101"/>
        <v>#N/A</v>
      </c>
      <c r="BF159" s="28" t="e">
        <f t="shared" si="102"/>
        <v>#DIV/0!</v>
      </c>
      <c r="BG159" s="28" t="e">
        <f t="shared" si="103"/>
        <v>#DIV/0!</v>
      </c>
      <c r="BH159" s="28" t="e">
        <f t="shared" si="104"/>
        <v>#DIV/0!</v>
      </c>
      <c r="BI159" s="28" t="e">
        <f t="shared" si="105"/>
        <v>#DIV/0!</v>
      </c>
    </row>
    <row r="160" spans="2:61" ht="75" customHeight="1" x14ac:dyDescent="0.25">
      <c r="B160" s="17"/>
      <c r="C160" s="17"/>
      <c r="D160" s="17"/>
      <c r="E160" s="17"/>
      <c r="F160" s="17"/>
      <c r="G160" s="17"/>
      <c r="H160" s="65"/>
      <c r="I160" s="17"/>
      <c r="J160" s="17"/>
      <c r="K160" s="17"/>
      <c r="L160" s="17"/>
      <c r="M160" s="17" t="e">
        <f t="shared" si="106"/>
        <v>#DIV/0!</v>
      </c>
      <c r="N160" s="17"/>
      <c r="O160" s="17"/>
      <c r="P160" s="17"/>
      <c r="Q160" s="17"/>
      <c r="R160" s="17"/>
      <c r="S160" s="17"/>
      <c r="U160" s="17">
        <f t="shared" si="72"/>
        <v>0</v>
      </c>
      <c r="V160" s="17" t="e">
        <f t="shared" si="73"/>
        <v>#DIV/0!</v>
      </c>
      <c r="W160" s="30" t="e">
        <f t="shared" si="74"/>
        <v>#DIV/0!</v>
      </c>
      <c r="X160" s="17" t="e">
        <f t="shared" si="75"/>
        <v>#N/A</v>
      </c>
      <c r="Y160" s="17" t="e">
        <f t="shared" si="76"/>
        <v>#DIV/0!</v>
      </c>
      <c r="Z160" s="17" t="e">
        <f t="shared" si="77"/>
        <v>#N/A</v>
      </c>
      <c r="AA160" s="43" t="e">
        <f t="shared" si="78"/>
        <v>#DIV/0!</v>
      </c>
      <c r="AG160" s="31">
        <f t="shared" si="79"/>
        <v>0</v>
      </c>
      <c r="AH160" s="31">
        <f t="shared" si="80"/>
        <v>0</v>
      </c>
      <c r="AI160" s="28" t="e">
        <f t="shared" si="81"/>
        <v>#N/A</v>
      </c>
      <c r="AJ160" s="28" t="e">
        <f t="shared" si="82"/>
        <v>#N/A</v>
      </c>
      <c r="AK160" s="28" t="e">
        <f t="shared" si="83"/>
        <v>#N/A</v>
      </c>
      <c r="AL160" s="28" t="e">
        <f t="shared" si="84"/>
        <v>#N/A</v>
      </c>
      <c r="AM160" s="28" t="e">
        <f t="shared" si="85"/>
        <v>#N/A</v>
      </c>
      <c r="AN160" s="28" t="e">
        <f t="shared" si="86"/>
        <v>#N/A</v>
      </c>
      <c r="AO160" s="28" t="e">
        <f t="shared" si="87"/>
        <v>#N/A</v>
      </c>
      <c r="AP160" s="28" t="e">
        <f t="shared" si="88"/>
        <v>#N/A</v>
      </c>
      <c r="AQ160" s="28" t="e">
        <f t="shared" si="89"/>
        <v>#N/A</v>
      </c>
      <c r="AR160" s="28" t="e">
        <f t="shared" si="90"/>
        <v>#N/A</v>
      </c>
      <c r="AS160" s="28" t="e">
        <f t="shared" si="91"/>
        <v>#N/A</v>
      </c>
      <c r="AT160" s="28" t="e">
        <f t="shared" si="92"/>
        <v>#N/A</v>
      </c>
      <c r="AV160" s="31" t="e">
        <f>IF(O160&gt;MAX($V$4:$AE$4),MAX($V$4:$AE$4)-0.1,IF(O160&lt;MIN($V$4:$AE142),MIN($V$4:$AE$4)+0.1,O160))</f>
        <v>#DIV/0!</v>
      </c>
      <c r="AW160" s="31">
        <f t="shared" si="93"/>
        <v>0</v>
      </c>
      <c r="AX160" s="28" t="e">
        <f t="shared" si="94"/>
        <v>#DIV/0!</v>
      </c>
      <c r="AY160" s="28" t="e">
        <f t="shared" si="95"/>
        <v>#DIV/0!</v>
      </c>
      <c r="AZ160" s="28" t="e">
        <f t="shared" si="96"/>
        <v>#DIV/0!</v>
      </c>
      <c r="BA160" s="28" t="e">
        <f t="shared" si="97"/>
        <v>#DIV/0!</v>
      </c>
      <c r="BB160" s="28" t="e">
        <f t="shared" si="98"/>
        <v>#N/A</v>
      </c>
      <c r="BC160" s="28" t="e">
        <f t="shared" si="99"/>
        <v>#N/A</v>
      </c>
      <c r="BD160" s="28" t="e">
        <f t="shared" si="100"/>
        <v>#N/A</v>
      </c>
      <c r="BE160" s="28" t="e">
        <f t="shared" si="101"/>
        <v>#N/A</v>
      </c>
      <c r="BF160" s="28" t="e">
        <f t="shared" si="102"/>
        <v>#DIV/0!</v>
      </c>
      <c r="BG160" s="28" t="e">
        <f t="shared" si="103"/>
        <v>#DIV/0!</v>
      </c>
      <c r="BH160" s="28" t="e">
        <f t="shared" si="104"/>
        <v>#DIV/0!</v>
      </c>
      <c r="BI160" s="28" t="e">
        <f t="shared" si="105"/>
        <v>#DIV/0!</v>
      </c>
    </row>
    <row r="161" spans="2:61" ht="75" customHeight="1" x14ac:dyDescent="0.25">
      <c r="B161" s="17"/>
      <c r="C161" s="17"/>
      <c r="D161" s="17"/>
      <c r="E161" s="17"/>
      <c r="F161" s="17"/>
      <c r="G161" s="17"/>
      <c r="H161" s="65"/>
      <c r="I161" s="17"/>
      <c r="J161" s="17"/>
      <c r="K161" s="17"/>
      <c r="L161" s="17"/>
      <c r="M161" s="17" t="e">
        <f t="shared" si="106"/>
        <v>#DIV/0!</v>
      </c>
      <c r="N161" s="17"/>
      <c r="O161" s="17"/>
      <c r="P161" s="17"/>
      <c r="Q161" s="17"/>
      <c r="R161" s="17"/>
      <c r="S161" s="17"/>
      <c r="U161" s="17">
        <f t="shared" si="72"/>
        <v>0</v>
      </c>
      <c r="V161" s="17" t="e">
        <f t="shared" si="73"/>
        <v>#DIV/0!</v>
      </c>
      <c r="W161" s="30" t="e">
        <f t="shared" si="74"/>
        <v>#DIV/0!</v>
      </c>
      <c r="X161" s="17" t="e">
        <f t="shared" si="75"/>
        <v>#N/A</v>
      </c>
      <c r="Y161" s="17" t="e">
        <f t="shared" si="76"/>
        <v>#DIV/0!</v>
      </c>
      <c r="Z161" s="17" t="e">
        <f t="shared" si="77"/>
        <v>#N/A</v>
      </c>
      <c r="AA161" s="43" t="e">
        <f t="shared" si="78"/>
        <v>#DIV/0!</v>
      </c>
      <c r="AG161" s="31">
        <f t="shared" si="79"/>
        <v>0</v>
      </c>
      <c r="AH161" s="31">
        <f t="shared" si="80"/>
        <v>0</v>
      </c>
      <c r="AI161" s="28" t="e">
        <f t="shared" si="81"/>
        <v>#N/A</v>
      </c>
      <c r="AJ161" s="28" t="e">
        <f t="shared" si="82"/>
        <v>#N/A</v>
      </c>
      <c r="AK161" s="28" t="e">
        <f t="shared" si="83"/>
        <v>#N/A</v>
      </c>
      <c r="AL161" s="28" t="e">
        <f t="shared" si="84"/>
        <v>#N/A</v>
      </c>
      <c r="AM161" s="28" t="e">
        <f t="shared" si="85"/>
        <v>#N/A</v>
      </c>
      <c r="AN161" s="28" t="e">
        <f t="shared" si="86"/>
        <v>#N/A</v>
      </c>
      <c r="AO161" s="28" t="e">
        <f t="shared" si="87"/>
        <v>#N/A</v>
      </c>
      <c r="AP161" s="28" t="e">
        <f t="shared" si="88"/>
        <v>#N/A</v>
      </c>
      <c r="AQ161" s="28" t="e">
        <f t="shared" si="89"/>
        <v>#N/A</v>
      </c>
      <c r="AR161" s="28" t="e">
        <f t="shared" si="90"/>
        <v>#N/A</v>
      </c>
      <c r="AS161" s="28" t="e">
        <f t="shared" si="91"/>
        <v>#N/A</v>
      </c>
      <c r="AT161" s="28" t="e">
        <f t="shared" si="92"/>
        <v>#N/A</v>
      </c>
      <c r="AV161" s="31" t="e">
        <f>IF(O161&gt;MAX($V$4:$AE$4),MAX($V$4:$AE$4)-0.1,IF(O161&lt;MIN($V$4:$AE143),MIN($V$4:$AE$4)+0.1,O161))</f>
        <v>#DIV/0!</v>
      </c>
      <c r="AW161" s="31">
        <f t="shared" si="93"/>
        <v>0</v>
      </c>
      <c r="AX161" s="28" t="e">
        <f t="shared" si="94"/>
        <v>#DIV/0!</v>
      </c>
      <c r="AY161" s="28" t="e">
        <f t="shared" si="95"/>
        <v>#DIV/0!</v>
      </c>
      <c r="AZ161" s="28" t="e">
        <f t="shared" si="96"/>
        <v>#DIV/0!</v>
      </c>
      <c r="BA161" s="28" t="e">
        <f t="shared" si="97"/>
        <v>#DIV/0!</v>
      </c>
      <c r="BB161" s="28" t="e">
        <f t="shared" si="98"/>
        <v>#N/A</v>
      </c>
      <c r="BC161" s="28" t="e">
        <f t="shared" si="99"/>
        <v>#N/A</v>
      </c>
      <c r="BD161" s="28" t="e">
        <f t="shared" si="100"/>
        <v>#N/A</v>
      </c>
      <c r="BE161" s="28" t="e">
        <f t="shared" si="101"/>
        <v>#N/A</v>
      </c>
      <c r="BF161" s="28" t="e">
        <f t="shared" si="102"/>
        <v>#DIV/0!</v>
      </c>
      <c r="BG161" s="28" t="e">
        <f t="shared" si="103"/>
        <v>#DIV/0!</v>
      </c>
      <c r="BH161" s="28" t="e">
        <f t="shared" si="104"/>
        <v>#DIV/0!</v>
      </c>
      <c r="BI161" s="28" t="e">
        <f t="shared" si="105"/>
        <v>#DIV/0!</v>
      </c>
    </row>
    <row r="162" spans="2:61" ht="75" customHeight="1" x14ac:dyDescent="0.25">
      <c r="B162" s="17"/>
      <c r="C162" s="17"/>
      <c r="D162" s="17"/>
      <c r="E162" s="17"/>
      <c r="F162" s="17"/>
      <c r="G162" s="17"/>
      <c r="H162" s="65"/>
      <c r="I162" s="17"/>
      <c r="J162" s="17"/>
      <c r="K162" s="17"/>
      <c r="L162" s="17"/>
      <c r="M162" s="17" t="e">
        <f t="shared" si="106"/>
        <v>#DIV/0!</v>
      </c>
      <c r="N162" s="17"/>
      <c r="O162" s="17"/>
      <c r="P162" s="17"/>
      <c r="Q162" s="17"/>
      <c r="R162" s="17"/>
      <c r="S162" s="17"/>
      <c r="U162" s="17">
        <f t="shared" si="72"/>
        <v>0</v>
      </c>
      <c r="V162" s="17" t="e">
        <f t="shared" si="73"/>
        <v>#DIV/0!</v>
      </c>
      <c r="W162" s="30" t="e">
        <f t="shared" si="74"/>
        <v>#DIV/0!</v>
      </c>
      <c r="X162" s="17" t="e">
        <f t="shared" si="75"/>
        <v>#N/A</v>
      </c>
      <c r="Y162" s="17" t="e">
        <f t="shared" si="76"/>
        <v>#DIV/0!</v>
      </c>
      <c r="Z162" s="17" t="e">
        <f t="shared" si="77"/>
        <v>#N/A</v>
      </c>
      <c r="AA162" s="43" t="e">
        <f t="shared" si="78"/>
        <v>#DIV/0!</v>
      </c>
      <c r="AG162" s="31">
        <f t="shared" si="79"/>
        <v>0</v>
      </c>
      <c r="AH162" s="31">
        <f t="shared" si="80"/>
        <v>0</v>
      </c>
      <c r="AI162" s="28" t="e">
        <f t="shared" si="81"/>
        <v>#N/A</v>
      </c>
      <c r="AJ162" s="28" t="e">
        <f t="shared" si="82"/>
        <v>#N/A</v>
      </c>
      <c r="AK162" s="28" t="e">
        <f t="shared" si="83"/>
        <v>#N/A</v>
      </c>
      <c r="AL162" s="28" t="e">
        <f t="shared" si="84"/>
        <v>#N/A</v>
      </c>
      <c r="AM162" s="28" t="e">
        <f t="shared" si="85"/>
        <v>#N/A</v>
      </c>
      <c r="AN162" s="28" t="e">
        <f t="shared" si="86"/>
        <v>#N/A</v>
      </c>
      <c r="AO162" s="28" t="e">
        <f t="shared" si="87"/>
        <v>#N/A</v>
      </c>
      <c r="AP162" s="28" t="e">
        <f t="shared" si="88"/>
        <v>#N/A</v>
      </c>
      <c r="AQ162" s="28" t="e">
        <f t="shared" si="89"/>
        <v>#N/A</v>
      </c>
      <c r="AR162" s="28" t="e">
        <f t="shared" si="90"/>
        <v>#N/A</v>
      </c>
      <c r="AS162" s="28" t="e">
        <f t="shared" si="91"/>
        <v>#N/A</v>
      </c>
      <c r="AT162" s="28" t="e">
        <f t="shared" si="92"/>
        <v>#N/A</v>
      </c>
      <c r="AV162" s="31" t="e">
        <f>IF(O162&gt;MAX($V$4:$AE$4),MAX($V$4:$AE$4)-0.1,IF(O162&lt;MIN($V$4:$AE144),MIN($V$4:$AE$4)+0.1,O162))</f>
        <v>#DIV/0!</v>
      </c>
      <c r="AW162" s="31">
        <f t="shared" si="93"/>
        <v>0</v>
      </c>
      <c r="AX162" s="28" t="e">
        <f t="shared" si="94"/>
        <v>#DIV/0!</v>
      </c>
      <c r="AY162" s="28" t="e">
        <f t="shared" si="95"/>
        <v>#DIV/0!</v>
      </c>
      <c r="AZ162" s="28" t="e">
        <f t="shared" si="96"/>
        <v>#DIV/0!</v>
      </c>
      <c r="BA162" s="28" t="e">
        <f t="shared" si="97"/>
        <v>#DIV/0!</v>
      </c>
      <c r="BB162" s="28" t="e">
        <f t="shared" si="98"/>
        <v>#N/A</v>
      </c>
      <c r="BC162" s="28" t="e">
        <f t="shared" si="99"/>
        <v>#N/A</v>
      </c>
      <c r="BD162" s="28" t="e">
        <f t="shared" si="100"/>
        <v>#N/A</v>
      </c>
      <c r="BE162" s="28" t="e">
        <f t="shared" si="101"/>
        <v>#N/A</v>
      </c>
      <c r="BF162" s="28" t="e">
        <f t="shared" si="102"/>
        <v>#DIV/0!</v>
      </c>
      <c r="BG162" s="28" t="e">
        <f t="shared" si="103"/>
        <v>#DIV/0!</v>
      </c>
      <c r="BH162" s="28" t="e">
        <f t="shared" si="104"/>
        <v>#DIV/0!</v>
      </c>
      <c r="BI162" s="28" t="e">
        <f t="shared" si="105"/>
        <v>#DIV/0!</v>
      </c>
    </row>
    <row r="163" spans="2:61" ht="75" customHeight="1" x14ac:dyDescent="0.25">
      <c r="B163" s="17"/>
      <c r="C163" s="17"/>
      <c r="D163" s="17"/>
      <c r="E163" s="17"/>
      <c r="F163" s="17"/>
      <c r="G163" s="17"/>
      <c r="H163" s="65"/>
      <c r="I163" s="17"/>
      <c r="J163" s="17"/>
      <c r="K163" s="17"/>
      <c r="L163" s="17"/>
      <c r="M163" s="17" t="e">
        <f t="shared" si="106"/>
        <v>#DIV/0!</v>
      </c>
      <c r="N163" s="17"/>
      <c r="O163" s="17"/>
      <c r="P163" s="17"/>
      <c r="Q163" s="17"/>
      <c r="R163" s="17"/>
      <c r="S163" s="17"/>
      <c r="U163" s="17">
        <f t="shared" si="72"/>
        <v>0</v>
      </c>
      <c r="V163" s="17" t="e">
        <f t="shared" si="73"/>
        <v>#DIV/0!</v>
      </c>
      <c r="W163" s="30" t="e">
        <f t="shared" si="74"/>
        <v>#DIV/0!</v>
      </c>
      <c r="X163" s="17" t="e">
        <f t="shared" si="75"/>
        <v>#N/A</v>
      </c>
      <c r="Y163" s="17" t="e">
        <f t="shared" si="76"/>
        <v>#DIV/0!</v>
      </c>
      <c r="Z163" s="17" t="e">
        <f t="shared" si="77"/>
        <v>#N/A</v>
      </c>
      <c r="AA163" s="43" t="e">
        <f t="shared" si="78"/>
        <v>#DIV/0!</v>
      </c>
      <c r="AG163" s="31">
        <f t="shared" si="79"/>
        <v>0</v>
      </c>
      <c r="AH163" s="31">
        <f t="shared" si="80"/>
        <v>0</v>
      </c>
      <c r="AI163" s="28" t="e">
        <f t="shared" si="81"/>
        <v>#N/A</v>
      </c>
      <c r="AJ163" s="28" t="e">
        <f t="shared" si="82"/>
        <v>#N/A</v>
      </c>
      <c r="AK163" s="28" t="e">
        <f t="shared" si="83"/>
        <v>#N/A</v>
      </c>
      <c r="AL163" s="28" t="e">
        <f t="shared" si="84"/>
        <v>#N/A</v>
      </c>
      <c r="AM163" s="28" t="e">
        <f t="shared" si="85"/>
        <v>#N/A</v>
      </c>
      <c r="AN163" s="28" t="e">
        <f t="shared" si="86"/>
        <v>#N/A</v>
      </c>
      <c r="AO163" s="28" t="e">
        <f t="shared" si="87"/>
        <v>#N/A</v>
      </c>
      <c r="AP163" s="28" t="e">
        <f t="shared" si="88"/>
        <v>#N/A</v>
      </c>
      <c r="AQ163" s="28" t="e">
        <f t="shared" si="89"/>
        <v>#N/A</v>
      </c>
      <c r="AR163" s="28" t="e">
        <f t="shared" si="90"/>
        <v>#N/A</v>
      </c>
      <c r="AS163" s="28" t="e">
        <f t="shared" si="91"/>
        <v>#N/A</v>
      </c>
      <c r="AT163" s="28" t="e">
        <f t="shared" si="92"/>
        <v>#N/A</v>
      </c>
      <c r="AV163" s="31" t="e">
        <f>IF(O163&gt;MAX($V$4:$AE$4),MAX($V$4:$AE$4)-0.1,IF(O163&lt;MIN($V$4:$AE145),MIN($V$4:$AE$4)+0.1,O163))</f>
        <v>#DIV/0!</v>
      </c>
      <c r="AW163" s="31">
        <f t="shared" si="93"/>
        <v>0</v>
      </c>
      <c r="AX163" s="28" t="e">
        <f t="shared" si="94"/>
        <v>#DIV/0!</v>
      </c>
      <c r="AY163" s="28" t="e">
        <f t="shared" si="95"/>
        <v>#DIV/0!</v>
      </c>
      <c r="AZ163" s="28" t="e">
        <f t="shared" si="96"/>
        <v>#DIV/0!</v>
      </c>
      <c r="BA163" s="28" t="e">
        <f t="shared" si="97"/>
        <v>#DIV/0!</v>
      </c>
      <c r="BB163" s="28" t="e">
        <f t="shared" si="98"/>
        <v>#N/A</v>
      </c>
      <c r="BC163" s="28" t="e">
        <f t="shared" si="99"/>
        <v>#N/A</v>
      </c>
      <c r="BD163" s="28" t="e">
        <f t="shared" si="100"/>
        <v>#N/A</v>
      </c>
      <c r="BE163" s="28" t="e">
        <f t="shared" si="101"/>
        <v>#N/A</v>
      </c>
      <c r="BF163" s="28" t="e">
        <f t="shared" si="102"/>
        <v>#DIV/0!</v>
      </c>
      <c r="BG163" s="28" t="e">
        <f t="shared" si="103"/>
        <v>#DIV/0!</v>
      </c>
      <c r="BH163" s="28" t="e">
        <f t="shared" si="104"/>
        <v>#DIV/0!</v>
      </c>
      <c r="BI163" s="28" t="e">
        <f t="shared" si="105"/>
        <v>#DIV/0!</v>
      </c>
    </row>
    <row r="164" spans="2:61" ht="75" customHeight="1" x14ac:dyDescent="0.25">
      <c r="B164" s="17"/>
      <c r="C164" s="17"/>
      <c r="D164" s="17"/>
      <c r="E164" s="17"/>
      <c r="F164" s="17"/>
      <c r="G164" s="17"/>
      <c r="H164" s="65"/>
      <c r="I164" s="17"/>
      <c r="J164" s="17"/>
      <c r="K164" s="17"/>
      <c r="L164" s="17"/>
      <c r="M164" s="17" t="e">
        <f t="shared" si="106"/>
        <v>#DIV/0!</v>
      </c>
      <c r="N164" s="17"/>
      <c r="O164" s="17"/>
      <c r="P164" s="17"/>
      <c r="Q164" s="17"/>
      <c r="R164" s="17"/>
      <c r="S164" s="17"/>
      <c r="U164" s="17">
        <f t="shared" si="72"/>
        <v>0</v>
      </c>
      <c r="V164" s="17" t="e">
        <f t="shared" si="73"/>
        <v>#DIV/0!</v>
      </c>
      <c r="W164" s="30" t="e">
        <f t="shared" si="74"/>
        <v>#DIV/0!</v>
      </c>
      <c r="X164" s="17" t="e">
        <f t="shared" si="75"/>
        <v>#N/A</v>
      </c>
      <c r="Y164" s="17" t="e">
        <f t="shared" si="76"/>
        <v>#DIV/0!</v>
      </c>
      <c r="Z164" s="17" t="e">
        <f t="shared" si="77"/>
        <v>#N/A</v>
      </c>
      <c r="AA164" s="43" t="e">
        <f t="shared" si="78"/>
        <v>#DIV/0!</v>
      </c>
      <c r="AG164" s="31">
        <f t="shared" si="79"/>
        <v>0</v>
      </c>
      <c r="AH164" s="31">
        <f t="shared" si="80"/>
        <v>0</v>
      </c>
      <c r="AI164" s="28" t="e">
        <f t="shared" si="81"/>
        <v>#N/A</v>
      </c>
      <c r="AJ164" s="28" t="e">
        <f t="shared" si="82"/>
        <v>#N/A</v>
      </c>
      <c r="AK164" s="28" t="e">
        <f t="shared" si="83"/>
        <v>#N/A</v>
      </c>
      <c r="AL164" s="28" t="e">
        <f t="shared" si="84"/>
        <v>#N/A</v>
      </c>
      <c r="AM164" s="28" t="e">
        <f t="shared" si="85"/>
        <v>#N/A</v>
      </c>
      <c r="AN164" s="28" t="e">
        <f t="shared" si="86"/>
        <v>#N/A</v>
      </c>
      <c r="AO164" s="28" t="e">
        <f t="shared" si="87"/>
        <v>#N/A</v>
      </c>
      <c r="AP164" s="28" t="e">
        <f t="shared" si="88"/>
        <v>#N/A</v>
      </c>
      <c r="AQ164" s="28" t="e">
        <f t="shared" si="89"/>
        <v>#N/A</v>
      </c>
      <c r="AR164" s="28" t="e">
        <f t="shared" si="90"/>
        <v>#N/A</v>
      </c>
      <c r="AS164" s="28" t="e">
        <f t="shared" si="91"/>
        <v>#N/A</v>
      </c>
      <c r="AT164" s="28" t="e">
        <f t="shared" si="92"/>
        <v>#N/A</v>
      </c>
      <c r="AV164" s="31" t="e">
        <f>IF(O164&gt;MAX($V$4:$AE$4),MAX($V$4:$AE$4)-0.1,IF(O164&lt;MIN($V$4:$AE146),MIN($V$4:$AE$4)+0.1,O164))</f>
        <v>#DIV/0!</v>
      </c>
      <c r="AW164" s="31">
        <f t="shared" si="93"/>
        <v>0</v>
      </c>
      <c r="AX164" s="28" t="e">
        <f t="shared" si="94"/>
        <v>#DIV/0!</v>
      </c>
      <c r="AY164" s="28" t="e">
        <f t="shared" si="95"/>
        <v>#DIV/0!</v>
      </c>
      <c r="AZ164" s="28" t="e">
        <f t="shared" si="96"/>
        <v>#DIV/0!</v>
      </c>
      <c r="BA164" s="28" t="e">
        <f t="shared" si="97"/>
        <v>#DIV/0!</v>
      </c>
      <c r="BB164" s="28" t="e">
        <f t="shared" si="98"/>
        <v>#N/A</v>
      </c>
      <c r="BC164" s="28" t="e">
        <f t="shared" si="99"/>
        <v>#N/A</v>
      </c>
      <c r="BD164" s="28" t="e">
        <f t="shared" si="100"/>
        <v>#N/A</v>
      </c>
      <c r="BE164" s="28" t="e">
        <f t="shared" si="101"/>
        <v>#N/A</v>
      </c>
      <c r="BF164" s="28" t="e">
        <f t="shared" si="102"/>
        <v>#DIV/0!</v>
      </c>
      <c r="BG164" s="28" t="e">
        <f t="shared" si="103"/>
        <v>#DIV/0!</v>
      </c>
      <c r="BH164" s="28" t="e">
        <f t="shared" si="104"/>
        <v>#DIV/0!</v>
      </c>
      <c r="BI164" s="28" t="e">
        <f t="shared" si="105"/>
        <v>#DIV/0!</v>
      </c>
    </row>
    <row r="165" spans="2:61" ht="75" customHeight="1" x14ac:dyDescent="0.25">
      <c r="B165" s="17"/>
      <c r="C165" s="17"/>
      <c r="D165" s="17"/>
      <c r="E165" s="17"/>
      <c r="F165" s="17"/>
      <c r="G165" s="17"/>
      <c r="H165" s="65"/>
      <c r="I165" s="17"/>
      <c r="J165" s="17"/>
      <c r="K165" s="17"/>
      <c r="L165" s="17"/>
      <c r="M165" s="17" t="e">
        <f t="shared" si="106"/>
        <v>#DIV/0!</v>
      </c>
      <c r="N165" s="17"/>
      <c r="O165" s="17"/>
      <c r="P165" s="17"/>
      <c r="Q165" s="17"/>
      <c r="R165" s="17"/>
      <c r="S165" s="17"/>
      <c r="U165" s="17">
        <f t="shared" si="72"/>
        <v>0</v>
      </c>
      <c r="V165" s="17" t="e">
        <f t="shared" si="73"/>
        <v>#DIV/0!</v>
      </c>
      <c r="W165" s="30" t="e">
        <f t="shared" si="74"/>
        <v>#DIV/0!</v>
      </c>
      <c r="X165" s="17" t="e">
        <f t="shared" si="75"/>
        <v>#N/A</v>
      </c>
      <c r="Y165" s="17" t="e">
        <f t="shared" si="76"/>
        <v>#DIV/0!</v>
      </c>
      <c r="Z165" s="17" t="e">
        <f t="shared" si="77"/>
        <v>#N/A</v>
      </c>
      <c r="AA165" s="43" t="e">
        <f t="shared" si="78"/>
        <v>#DIV/0!</v>
      </c>
      <c r="AG165" s="31">
        <f t="shared" si="79"/>
        <v>0</v>
      </c>
      <c r="AH165" s="31">
        <f t="shared" si="80"/>
        <v>0</v>
      </c>
      <c r="AI165" s="28" t="e">
        <f t="shared" si="81"/>
        <v>#N/A</v>
      </c>
      <c r="AJ165" s="28" t="e">
        <f t="shared" si="82"/>
        <v>#N/A</v>
      </c>
      <c r="AK165" s="28" t="e">
        <f t="shared" si="83"/>
        <v>#N/A</v>
      </c>
      <c r="AL165" s="28" t="e">
        <f t="shared" si="84"/>
        <v>#N/A</v>
      </c>
      <c r="AM165" s="28" t="e">
        <f t="shared" si="85"/>
        <v>#N/A</v>
      </c>
      <c r="AN165" s="28" t="e">
        <f t="shared" si="86"/>
        <v>#N/A</v>
      </c>
      <c r="AO165" s="28" t="e">
        <f t="shared" si="87"/>
        <v>#N/A</v>
      </c>
      <c r="AP165" s="28" t="e">
        <f t="shared" si="88"/>
        <v>#N/A</v>
      </c>
      <c r="AQ165" s="28" t="e">
        <f t="shared" si="89"/>
        <v>#N/A</v>
      </c>
      <c r="AR165" s="28" t="e">
        <f t="shared" si="90"/>
        <v>#N/A</v>
      </c>
      <c r="AS165" s="28" t="e">
        <f t="shared" si="91"/>
        <v>#N/A</v>
      </c>
      <c r="AT165" s="28" t="e">
        <f t="shared" si="92"/>
        <v>#N/A</v>
      </c>
      <c r="AV165" s="31" t="e">
        <f>IF(O165&gt;MAX($V$4:$AE$4),MAX($V$4:$AE$4)-0.1,IF(O165&lt;MIN($V$4:$AE147),MIN($V$4:$AE$4)+0.1,O165))</f>
        <v>#DIV/0!</v>
      </c>
      <c r="AW165" s="31">
        <f t="shared" si="93"/>
        <v>0</v>
      </c>
      <c r="AX165" s="28" t="e">
        <f t="shared" si="94"/>
        <v>#DIV/0!</v>
      </c>
      <c r="AY165" s="28" t="e">
        <f t="shared" si="95"/>
        <v>#DIV/0!</v>
      </c>
      <c r="AZ165" s="28" t="e">
        <f t="shared" si="96"/>
        <v>#DIV/0!</v>
      </c>
      <c r="BA165" s="28" t="e">
        <f t="shared" si="97"/>
        <v>#DIV/0!</v>
      </c>
      <c r="BB165" s="28" t="e">
        <f t="shared" si="98"/>
        <v>#N/A</v>
      </c>
      <c r="BC165" s="28" t="e">
        <f t="shared" si="99"/>
        <v>#N/A</v>
      </c>
      <c r="BD165" s="28" t="e">
        <f t="shared" si="100"/>
        <v>#N/A</v>
      </c>
      <c r="BE165" s="28" t="e">
        <f t="shared" si="101"/>
        <v>#N/A</v>
      </c>
      <c r="BF165" s="28" t="e">
        <f t="shared" si="102"/>
        <v>#DIV/0!</v>
      </c>
      <c r="BG165" s="28" t="e">
        <f t="shared" si="103"/>
        <v>#DIV/0!</v>
      </c>
      <c r="BH165" s="28" t="e">
        <f t="shared" si="104"/>
        <v>#DIV/0!</v>
      </c>
      <c r="BI165" s="28" t="e">
        <f t="shared" si="105"/>
        <v>#DIV/0!</v>
      </c>
    </row>
    <row r="166" spans="2:61" ht="75" customHeight="1" x14ac:dyDescent="0.25">
      <c r="B166" s="17"/>
      <c r="C166" s="17"/>
      <c r="D166" s="17"/>
      <c r="E166" s="17"/>
      <c r="F166" s="17"/>
      <c r="G166" s="17"/>
      <c r="H166" s="65"/>
      <c r="I166" s="17"/>
      <c r="J166" s="17"/>
      <c r="K166" s="17"/>
      <c r="L166" s="17"/>
      <c r="M166" s="17" t="e">
        <f t="shared" si="106"/>
        <v>#DIV/0!</v>
      </c>
      <c r="N166" s="17"/>
      <c r="O166" s="17"/>
      <c r="P166" s="17"/>
      <c r="Q166" s="17"/>
      <c r="R166" s="17"/>
      <c r="S166" s="17"/>
      <c r="U166" s="17">
        <f t="shared" si="72"/>
        <v>0</v>
      </c>
      <c r="V166" s="17" t="e">
        <f t="shared" si="73"/>
        <v>#DIV/0!</v>
      </c>
      <c r="W166" s="30" t="e">
        <f t="shared" si="74"/>
        <v>#DIV/0!</v>
      </c>
      <c r="X166" s="17" t="e">
        <f t="shared" si="75"/>
        <v>#N/A</v>
      </c>
      <c r="Y166" s="17" t="e">
        <f t="shared" si="76"/>
        <v>#DIV/0!</v>
      </c>
      <c r="Z166" s="17" t="e">
        <f t="shared" si="77"/>
        <v>#N/A</v>
      </c>
      <c r="AA166" s="43" t="e">
        <f t="shared" si="78"/>
        <v>#DIV/0!</v>
      </c>
      <c r="AG166" s="31">
        <f t="shared" si="79"/>
        <v>0</v>
      </c>
      <c r="AH166" s="31">
        <f t="shared" si="80"/>
        <v>0</v>
      </c>
      <c r="AI166" s="28" t="e">
        <f t="shared" si="81"/>
        <v>#N/A</v>
      </c>
      <c r="AJ166" s="28" t="e">
        <f t="shared" si="82"/>
        <v>#N/A</v>
      </c>
      <c r="AK166" s="28" t="e">
        <f t="shared" si="83"/>
        <v>#N/A</v>
      </c>
      <c r="AL166" s="28" t="e">
        <f t="shared" si="84"/>
        <v>#N/A</v>
      </c>
      <c r="AM166" s="28" t="e">
        <f t="shared" si="85"/>
        <v>#N/A</v>
      </c>
      <c r="AN166" s="28" t="e">
        <f t="shared" si="86"/>
        <v>#N/A</v>
      </c>
      <c r="AO166" s="28" t="e">
        <f t="shared" si="87"/>
        <v>#N/A</v>
      </c>
      <c r="AP166" s="28" t="e">
        <f t="shared" si="88"/>
        <v>#N/A</v>
      </c>
      <c r="AQ166" s="28" t="e">
        <f t="shared" si="89"/>
        <v>#N/A</v>
      </c>
      <c r="AR166" s="28" t="e">
        <f t="shared" si="90"/>
        <v>#N/A</v>
      </c>
      <c r="AS166" s="28" t="e">
        <f t="shared" si="91"/>
        <v>#N/A</v>
      </c>
      <c r="AT166" s="28" t="e">
        <f t="shared" si="92"/>
        <v>#N/A</v>
      </c>
      <c r="AV166" s="31" t="e">
        <f>IF(O166&gt;MAX($V$4:$AE$4),MAX($V$4:$AE$4)-0.1,IF(O166&lt;MIN($V$4:$AE148),MIN($V$4:$AE$4)+0.1,O166))</f>
        <v>#DIV/0!</v>
      </c>
      <c r="AW166" s="31">
        <f t="shared" si="93"/>
        <v>0</v>
      </c>
      <c r="AX166" s="28" t="e">
        <f t="shared" si="94"/>
        <v>#DIV/0!</v>
      </c>
      <c r="AY166" s="28" t="e">
        <f t="shared" si="95"/>
        <v>#DIV/0!</v>
      </c>
      <c r="AZ166" s="28" t="e">
        <f t="shared" si="96"/>
        <v>#DIV/0!</v>
      </c>
      <c r="BA166" s="28" t="e">
        <f t="shared" si="97"/>
        <v>#DIV/0!</v>
      </c>
      <c r="BB166" s="28" t="e">
        <f t="shared" si="98"/>
        <v>#N/A</v>
      </c>
      <c r="BC166" s="28" t="e">
        <f t="shared" si="99"/>
        <v>#N/A</v>
      </c>
      <c r="BD166" s="28" t="e">
        <f t="shared" si="100"/>
        <v>#N/A</v>
      </c>
      <c r="BE166" s="28" t="e">
        <f t="shared" si="101"/>
        <v>#N/A</v>
      </c>
      <c r="BF166" s="28" t="e">
        <f t="shared" si="102"/>
        <v>#DIV/0!</v>
      </c>
      <c r="BG166" s="28" t="e">
        <f t="shared" si="103"/>
        <v>#DIV/0!</v>
      </c>
      <c r="BH166" s="28" t="e">
        <f t="shared" si="104"/>
        <v>#DIV/0!</v>
      </c>
      <c r="BI166" s="28" t="e">
        <f t="shared" si="105"/>
        <v>#DIV/0!</v>
      </c>
    </row>
    <row r="167" spans="2:61" ht="75" customHeight="1" x14ac:dyDescent="0.25">
      <c r="B167" s="17"/>
      <c r="C167" s="17"/>
      <c r="D167" s="17"/>
      <c r="E167" s="17"/>
      <c r="F167" s="17"/>
      <c r="G167" s="17"/>
      <c r="H167" s="65"/>
      <c r="I167" s="17"/>
      <c r="J167" s="17"/>
      <c r="K167" s="17"/>
      <c r="L167" s="17"/>
      <c r="M167" s="17" t="e">
        <f t="shared" si="106"/>
        <v>#DIV/0!</v>
      </c>
      <c r="N167" s="17"/>
      <c r="O167" s="17"/>
      <c r="P167" s="17"/>
      <c r="Q167" s="17"/>
      <c r="R167" s="17"/>
      <c r="S167" s="17"/>
      <c r="U167" s="17">
        <f t="shared" si="72"/>
        <v>0</v>
      </c>
      <c r="V167" s="17" t="e">
        <f t="shared" si="73"/>
        <v>#DIV/0!</v>
      </c>
      <c r="W167" s="30" t="e">
        <f t="shared" si="74"/>
        <v>#DIV/0!</v>
      </c>
      <c r="X167" s="17" t="e">
        <f t="shared" si="75"/>
        <v>#N/A</v>
      </c>
      <c r="Y167" s="17" t="e">
        <f t="shared" si="76"/>
        <v>#DIV/0!</v>
      </c>
      <c r="Z167" s="17" t="e">
        <f t="shared" si="77"/>
        <v>#N/A</v>
      </c>
      <c r="AA167" s="43" t="e">
        <f t="shared" si="78"/>
        <v>#DIV/0!</v>
      </c>
      <c r="AG167" s="31">
        <f t="shared" si="79"/>
        <v>0</v>
      </c>
      <c r="AH167" s="31">
        <f t="shared" si="80"/>
        <v>0</v>
      </c>
      <c r="AI167" s="28" t="e">
        <f t="shared" si="81"/>
        <v>#N/A</v>
      </c>
      <c r="AJ167" s="28" t="e">
        <f t="shared" si="82"/>
        <v>#N/A</v>
      </c>
      <c r="AK167" s="28" t="e">
        <f t="shared" si="83"/>
        <v>#N/A</v>
      </c>
      <c r="AL167" s="28" t="e">
        <f t="shared" si="84"/>
        <v>#N/A</v>
      </c>
      <c r="AM167" s="28" t="e">
        <f t="shared" si="85"/>
        <v>#N/A</v>
      </c>
      <c r="AN167" s="28" t="e">
        <f t="shared" si="86"/>
        <v>#N/A</v>
      </c>
      <c r="AO167" s="28" t="e">
        <f t="shared" si="87"/>
        <v>#N/A</v>
      </c>
      <c r="AP167" s="28" t="e">
        <f t="shared" si="88"/>
        <v>#N/A</v>
      </c>
      <c r="AQ167" s="28" t="e">
        <f t="shared" si="89"/>
        <v>#N/A</v>
      </c>
      <c r="AR167" s="28" t="e">
        <f t="shared" si="90"/>
        <v>#N/A</v>
      </c>
      <c r="AS167" s="28" t="e">
        <f t="shared" si="91"/>
        <v>#N/A</v>
      </c>
      <c r="AT167" s="28" t="e">
        <f t="shared" si="92"/>
        <v>#N/A</v>
      </c>
      <c r="AV167" s="31" t="e">
        <f>IF(O167&gt;MAX($V$4:$AE$4),MAX($V$4:$AE$4)-0.1,IF(O167&lt;MIN($V$4:$AE149),MIN($V$4:$AE$4)+0.1,O167))</f>
        <v>#DIV/0!</v>
      </c>
      <c r="AW167" s="31">
        <f t="shared" si="93"/>
        <v>0</v>
      </c>
      <c r="AX167" s="28" t="e">
        <f t="shared" si="94"/>
        <v>#DIV/0!</v>
      </c>
      <c r="AY167" s="28" t="e">
        <f t="shared" si="95"/>
        <v>#DIV/0!</v>
      </c>
      <c r="AZ167" s="28" t="e">
        <f t="shared" si="96"/>
        <v>#DIV/0!</v>
      </c>
      <c r="BA167" s="28" t="e">
        <f t="shared" si="97"/>
        <v>#DIV/0!</v>
      </c>
      <c r="BB167" s="28" t="e">
        <f t="shared" si="98"/>
        <v>#N/A</v>
      </c>
      <c r="BC167" s="28" t="e">
        <f t="shared" si="99"/>
        <v>#N/A</v>
      </c>
      <c r="BD167" s="28" t="e">
        <f t="shared" si="100"/>
        <v>#N/A</v>
      </c>
      <c r="BE167" s="28" t="e">
        <f t="shared" si="101"/>
        <v>#N/A</v>
      </c>
      <c r="BF167" s="28" t="e">
        <f t="shared" si="102"/>
        <v>#DIV/0!</v>
      </c>
      <c r="BG167" s="28" t="e">
        <f t="shared" si="103"/>
        <v>#DIV/0!</v>
      </c>
      <c r="BH167" s="28" t="e">
        <f t="shared" si="104"/>
        <v>#DIV/0!</v>
      </c>
      <c r="BI167" s="28" t="e">
        <f t="shared" si="105"/>
        <v>#DIV/0!</v>
      </c>
    </row>
    <row r="168" spans="2:61" ht="75" customHeight="1" x14ac:dyDescent="0.25">
      <c r="B168" s="17"/>
      <c r="C168" s="17"/>
      <c r="D168" s="17"/>
      <c r="E168" s="17"/>
      <c r="F168" s="17"/>
      <c r="G168" s="17"/>
      <c r="H168" s="65"/>
      <c r="I168" s="17"/>
      <c r="J168" s="17"/>
      <c r="K168" s="17"/>
      <c r="L168" s="17"/>
      <c r="M168" s="17" t="e">
        <f t="shared" si="106"/>
        <v>#DIV/0!</v>
      </c>
      <c r="N168" s="17"/>
      <c r="O168" s="17"/>
      <c r="P168" s="17"/>
      <c r="Q168" s="17"/>
      <c r="R168" s="17"/>
      <c r="S168" s="17"/>
      <c r="U168" s="17">
        <f t="shared" si="72"/>
        <v>0</v>
      </c>
      <c r="V168" s="17" t="e">
        <f t="shared" si="73"/>
        <v>#DIV/0!</v>
      </c>
      <c r="W168" s="30" t="e">
        <f t="shared" si="74"/>
        <v>#DIV/0!</v>
      </c>
      <c r="X168" s="17" t="e">
        <f t="shared" si="75"/>
        <v>#N/A</v>
      </c>
      <c r="Y168" s="17" t="e">
        <f t="shared" si="76"/>
        <v>#DIV/0!</v>
      </c>
      <c r="Z168" s="17" t="e">
        <f t="shared" si="77"/>
        <v>#N/A</v>
      </c>
      <c r="AA168" s="43" t="e">
        <f t="shared" si="78"/>
        <v>#DIV/0!</v>
      </c>
      <c r="AG168" s="31">
        <f t="shared" si="79"/>
        <v>0</v>
      </c>
      <c r="AH168" s="31">
        <f t="shared" si="80"/>
        <v>0</v>
      </c>
      <c r="AI168" s="28" t="e">
        <f t="shared" si="81"/>
        <v>#N/A</v>
      </c>
      <c r="AJ168" s="28" t="e">
        <f t="shared" si="82"/>
        <v>#N/A</v>
      </c>
      <c r="AK168" s="28" t="e">
        <f t="shared" si="83"/>
        <v>#N/A</v>
      </c>
      <c r="AL168" s="28" t="e">
        <f t="shared" si="84"/>
        <v>#N/A</v>
      </c>
      <c r="AM168" s="28" t="e">
        <f t="shared" si="85"/>
        <v>#N/A</v>
      </c>
      <c r="AN168" s="28" t="e">
        <f t="shared" si="86"/>
        <v>#N/A</v>
      </c>
      <c r="AO168" s="28" t="e">
        <f t="shared" si="87"/>
        <v>#N/A</v>
      </c>
      <c r="AP168" s="28" t="e">
        <f t="shared" si="88"/>
        <v>#N/A</v>
      </c>
      <c r="AQ168" s="28" t="e">
        <f t="shared" si="89"/>
        <v>#N/A</v>
      </c>
      <c r="AR168" s="28" t="e">
        <f t="shared" si="90"/>
        <v>#N/A</v>
      </c>
      <c r="AS168" s="28" t="e">
        <f t="shared" si="91"/>
        <v>#N/A</v>
      </c>
      <c r="AT168" s="28" t="e">
        <f t="shared" si="92"/>
        <v>#N/A</v>
      </c>
      <c r="AV168" s="31" t="e">
        <f>IF(O168&gt;MAX($V$4:$AE$4),MAX($V$4:$AE$4)-0.1,IF(O168&lt;MIN($V$4:$AE150),MIN($V$4:$AE$4)+0.1,O168))</f>
        <v>#DIV/0!</v>
      </c>
      <c r="AW168" s="31">
        <f t="shared" si="93"/>
        <v>0</v>
      </c>
      <c r="AX168" s="28" t="e">
        <f t="shared" si="94"/>
        <v>#DIV/0!</v>
      </c>
      <c r="AY168" s="28" t="e">
        <f t="shared" si="95"/>
        <v>#DIV/0!</v>
      </c>
      <c r="AZ168" s="28" t="e">
        <f t="shared" si="96"/>
        <v>#DIV/0!</v>
      </c>
      <c r="BA168" s="28" t="e">
        <f t="shared" si="97"/>
        <v>#DIV/0!</v>
      </c>
      <c r="BB168" s="28" t="e">
        <f t="shared" si="98"/>
        <v>#N/A</v>
      </c>
      <c r="BC168" s="28" t="e">
        <f t="shared" si="99"/>
        <v>#N/A</v>
      </c>
      <c r="BD168" s="28" t="e">
        <f t="shared" si="100"/>
        <v>#N/A</v>
      </c>
      <c r="BE168" s="28" t="e">
        <f t="shared" si="101"/>
        <v>#N/A</v>
      </c>
      <c r="BF168" s="28" t="e">
        <f t="shared" si="102"/>
        <v>#DIV/0!</v>
      </c>
      <c r="BG168" s="28" t="e">
        <f t="shared" si="103"/>
        <v>#DIV/0!</v>
      </c>
      <c r="BH168" s="28" t="e">
        <f t="shared" si="104"/>
        <v>#DIV/0!</v>
      </c>
      <c r="BI168" s="28" t="e">
        <f t="shared" si="105"/>
        <v>#DIV/0!</v>
      </c>
    </row>
    <row r="169" spans="2:61" ht="75" customHeight="1" x14ac:dyDescent="0.25">
      <c r="B169" s="17"/>
      <c r="C169" s="17"/>
      <c r="D169" s="17"/>
      <c r="E169" s="17"/>
      <c r="F169" s="17"/>
      <c r="G169" s="17"/>
      <c r="H169" s="65"/>
      <c r="I169" s="17"/>
      <c r="J169" s="17"/>
      <c r="K169" s="17"/>
      <c r="L169" s="17"/>
      <c r="M169" s="17" t="e">
        <f t="shared" si="106"/>
        <v>#DIV/0!</v>
      </c>
      <c r="N169" s="17"/>
      <c r="O169" s="17"/>
      <c r="P169" s="17"/>
      <c r="Q169" s="17"/>
      <c r="R169" s="17"/>
      <c r="S169" s="17"/>
      <c r="U169" s="17">
        <f t="shared" si="72"/>
        <v>0</v>
      </c>
      <c r="V169" s="17" t="e">
        <f t="shared" si="73"/>
        <v>#DIV/0!</v>
      </c>
      <c r="W169" s="30" t="e">
        <f t="shared" si="74"/>
        <v>#DIV/0!</v>
      </c>
      <c r="X169" s="17" t="e">
        <f t="shared" si="75"/>
        <v>#N/A</v>
      </c>
      <c r="Y169" s="17" t="e">
        <f t="shared" si="76"/>
        <v>#DIV/0!</v>
      </c>
      <c r="Z169" s="17" t="e">
        <f t="shared" si="77"/>
        <v>#N/A</v>
      </c>
      <c r="AA169" s="43" t="e">
        <f t="shared" si="78"/>
        <v>#DIV/0!</v>
      </c>
      <c r="AG169" s="31">
        <f t="shared" si="79"/>
        <v>0</v>
      </c>
      <c r="AH169" s="31">
        <f t="shared" si="80"/>
        <v>0</v>
      </c>
      <c r="AI169" s="28" t="e">
        <f t="shared" si="81"/>
        <v>#N/A</v>
      </c>
      <c r="AJ169" s="28" t="e">
        <f t="shared" si="82"/>
        <v>#N/A</v>
      </c>
      <c r="AK169" s="28" t="e">
        <f t="shared" si="83"/>
        <v>#N/A</v>
      </c>
      <c r="AL169" s="28" t="e">
        <f t="shared" si="84"/>
        <v>#N/A</v>
      </c>
      <c r="AM169" s="28" t="e">
        <f t="shared" si="85"/>
        <v>#N/A</v>
      </c>
      <c r="AN169" s="28" t="e">
        <f t="shared" si="86"/>
        <v>#N/A</v>
      </c>
      <c r="AO169" s="28" t="e">
        <f t="shared" si="87"/>
        <v>#N/A</v>
      </c>
      <c r="AP169" s="28" t="e">
        <f t="shared" si="88"/>
        <v>#N/A</v>
      </c>
      <c r="AQ169" s="28" t="e">
        <f t="shared" si="89"/>
        <v>#N/A</v>
      </c>
      <c r="AR169" s="28" t="e">
        <f t="shared" si="90"/>
        <v>#N/A</v>
      </c>
      <c r="AS169" s="28" t="e">
        <f t="shared" si="91"/>
        <v>#N/A</v>
      </c>
      <c r="AT169" s="28" t="e">
        <f t="shared" si="92"/>
        <v>#N/A</v>
      </c>
      <c r="AV169" s="31" t="e">
        <f>IF(O169&gt;MAX($V$4:$AE$4),MAX($V$4:$AE$4)-0.1,IF(O169&lt;MIN($V$4:$AE151),MIN($V$4:$AE$4)+0.1,O169))</f>
        <v>#DIV/0!</v>
      </c>
      <c r="AW169" s="31">
        <f t="shared" si="93"/>
        <v>0</v>
      </c>
      <c r="AX169" s="28" t="e">
        <f t="shared" si="94"/>
        <v>#DIV/0!</v>
      </c>
      <c r="AY169" s="28" t="e">
        <f t="shared" si="95"/>
        <v>#DIV/0!</v>
      </c>
      <c r="AZ169" s="28" t="e">
        <f t="shared" si="96"/>
        <v>#DIV/0!</v>
      </c>
      <c r="BA169" s="28" t="e">
        <f t="shared" si="97"/>
        <v>#DIV/0!</v>
      </c>
      <c r="BB169" s="28" t="e">
        <f t="shared" si="98"/>
        <v>#N/A</v>
      </c>
      <c r="BC169" s="28" t="e">
        <f t="shared" si="99"/>
        <v>#N/A</v>
      </c>
      <c r="BD169" s="28" t="e">
        <f t="shared" si="100"/>
        <v>#N/A</v>
      </c>
      <c r="BE169" s="28" t="e">
        <f t="shared" si="101"/>
        <v>#N/A</v>
      </c>
      <c r="BF169" s="28" t="e">
        <f t="shared" si="102"/>
        <v>#DIV/0!</v>
      </c>
      <c r="BG169" s="28" t="e">
        <f t="shared" si="103"/>
        <v>#DIV/0!</v>
      </c>
      <c r="BH169" s="28" t="e">
        <f t="shared" si="104"/>
        <v>#DIV/0!</v>
      </c>
      <c r="BI169" s="28" t="e">
        <f t="shared" si="105"/>
        <v>#DIV/0!</v>
      </c>
    </row>
    <row r="170" spans="2:61" ht="75" customHeight="1" x14ac:dyDescent="0.25">
      <c r="B170" s="17"/>
      <c r="C170" s="17"/>
      <c r="D170" s="17"/>
      <c r="E170" s="17"/>
      <c r="F170" s="17"/>
      <c r="G170" s="17"/>
      <c r="H170" s="65"/>
      <c r="I170" s="17"/>
      <c r="J170" s="17"/>
      <c r="K170" s="17"/>
      <c r="L170" s="17"/>
      <c r="M170" s="17" t="e">
        <f t="shared" si="106"/>
        <v>#DIV/0!</v>
      </c>
      <c r="N170" s="17"/>
      <c r="O170" s="17"/>
      <c r="P170" s="17"/>
      <c r="Q170" s="17"/>
      <c r="R170" s="17"/>
      <c r="S170" s="17"/>
      <c r="U170" s="17">
        <f t="shared" si="72"/>
        <v>0</v>
      </c>
      <c r="V170" s="17" t="e">
        <f t="shared" si="73"/>
        <v>#DIV/0!</v>
      </c>
      <c r="W170" s="30" t="e">
        <f t="shared" si="74"/>
        <v>#DIV/0!</v>
      </c>
      <c r="X170" s="17" t="e">
        <f t="shared" si="75"/>
        <v>#N/A</v>
      </c>
      <c r="Y170" s="17" t="e">
        <f t="shared" si="76"/>
        <v>#DIV/0!</v>
      </c>
      <c r="Z170" s="17" t="e">
        <f t="shared" si="77"/>
        <v>#N/A</v>
      </c>
      <c r="AA170" s="43" t="e">
        <f t="shared" si="78"/>
        <v>#DIV/0!</v>
      </c>
      <c r="AG170" s="31">
        <f t="shared" si="79"/>
        <v>0</v>
      </c>
      <c r="AH170" s="31">
        <f t="shared" si="80"/>
        <v>0</v>
      </c>
      <c r="AI170" s="28" t="e">
        <f t="shared" si="81"/>
        <v>#N/A</v>
      </c>
      <c r="AJ170" s="28" t="e">
        <f t="shared" si="82"/>
        <v>#N/A</v>
      </c>
      <c r="AK170" s="28" t="e">
        <f t="shared" si="83"/>
        <v>#N/A</v>
      </c>
      <c r="AL170" s="28" t="e">
        <f t="shared" si="84"/>
        <v>#N/A</v>
      </c>
      <c r="AM170" s="28" t="e">
        <f t="shared" si="85"/>
        <v>#N/A</v>
      </c>
      <c r="AN170" s="28" t="e">
        <f t="shared" si="86"/>
        <v>#N/A</v>
      </c>
      <c r="AO170" s="28" t="e">
        <f t="shared" si="87"/>
        <v>#N/A</v>
      </c>
      <c r="AP170" s="28" t="e">
        <f t="shared" si="88"/>
        <v>#N/A</v>
      </c>
      <c r="AQ170" s="28" t="e">
        <f t="shared" si="89"/>
        <v>#N/A</v>
      </c>
      <c r="AR170" s="28" t="e">
        <f t="shared" si="90"/>
        <v>#N/A</v>
      </c>
      <c r="AS170" s="28" t="e">
        <f t="shared" si="91"/>
        <v>#N/A</v>
      </c>
      <c r="AT170" s="28" t="e">
        <f t="shared" si="92"/>
        <v>#N/A</v>
      </c>
      <c r="AV170" s="31" t="e">
        <f>IF(O170&gt;MAX($V$4:$AE$4),MAX($V$4:$AE$4)-0.1,IF(O170&lt;MIN($V$4:$AE152),MIN($V$4:$AE$4)+0.1,O170))</f>
        <v>#DIV/0!</v>
      </c>
      <c r="AW170" s="31">
        <f t="shared" si="93"/>
        <v>0</v>
      </c>
      <c r="AX170" s="28" t="e">
        <f t="shared" si="94"/>
        <v>#DIV/0!</v>
      </c>
      <c r="AY170" s="28" t="e">
        <f t="shared" si="95"/>
        <v>#DIV/0!</v>
      </c>
      <c r="AZ170" s="28" t="e">
        <f t="shared" si="96"/>
        <v>#DIV/0!</v>
      </c>
      <c r="BA170" s="28" t="e">
        <f t="shared" si="97"/>
        <v>#DIV/0!</v>
      </c>
      <c r="BB170" s="28" t="e">
        <f t="shared" si="98"/>
        <v>#N/A</v>
      </c>
      <c r="BC170" s="28" t="e">
        <f t="shared" si="99"/>
        <v>#N/A</v>
      </c>
      <c r="BD170" s="28" t="e">
        <f t="shared" si="100"/>
        <v>#N/A</v>
      </c>
      <c r="BE170" s="28" t="e">
        <f t="shared" si="101"/>
        <v>#N/A</v>
      </c>
      <c r="BF170" s="28" t="e">
        <f t="shared" si="102"/>
        <v>#DIV/0!</v>
      </c>
      <c r="BG170" s="28" t="e">
        <f t="shared" si="103"/>
        <v>#DIV/0!</v>
      </c>
      <c r="BH170" s="28" t="e">
        <f t="shared" si="104"/>
        <v>#DIV/0!</v>
      </c>
      <c r="BI170" s="28" t="e">
        <f t="shared" si="105"/>
        <v>#DIV/0!</v>
      </c>
    </row>
    <row r="171" spans="2:61" ht="75" customHeight="1" x14ac:dyDescent="0.25">
      <c r="B171" s="17"/>
      <c r="C171" s="17"/>
      <c r="D171" s="17"/>
      <c r="E171" s="17"/>
      <c r="F171" s="17"/>
      <c r="G171" s="17"/>
      <c r="H171" s="65"/>
      <c r="I171" s="17"/>
      <c r="J171" s="17"/>
      <c r="K171" s="17"/>
      <c r="L171" s="17"/>
      <c r="M171" s="17" t="e">
        <f t="shared" si="106"/>
        <v>#DIV/0!</v>
      </c>
      <c r="N171" s="17"/>
      <c r="O171" s="17"/>
      <c r="P171" s="17"/>
      <c r="Q171" s="17"/>
      <c r="R171" s="17"/>
      <c r="S171" s="17"/>
      <c r="U171" s="17">
        <f t="shared" si="72"/>
        <v>0</v>
      </c>
      <c r="V171" s="17" t="e">
        <f t="shared" si="73"/>
        <v>#DIV/0!</v>
      </c>
      <c r="W171" s="30" t="e">
        <f t="shared" si="74"/>
        <v>#DIV/0!</v>
      </c>
      <c r="X171" s="17" t="e">
        <f t="shared" si="75"/>
        <v>#N/A</v>
      </c>
      <c r="Y171" s="17" t="e">
        <f t="shared" si="76"/>
        <v>#DIV/0!</v>
      </c>
      <c r="Z171" s="17" t="e">
        <f t="shared" si="77"/>
        <v>#N/A</v>
      </c>
      <c r="AA171" s="43" t="e">
        <f t="shared" si="78"/>
        <v>#DIV/0!</v>
      </c>
      <c r="AG171" s="31">
        <f t="shared" si="79"/>
        <v>0</v>
      </c>
      <c r="AH171" s="31">
        <f t="shared" si="80"/>
        <v>0</v>
      </c>
      <c r="AI171" s="28" t="e">
        <f t="shared" si="81"/>
        <v>#N/A</v>
      </c>
      <c r="AJ171" s="28" t="e">
        <f t="shared" si="82"/>
        <v>#N/A</v>
      </c>
      <c r="AK171" s="28" t="e">
        <f t="shared" si="83"/>
        <v>#N/A</v>
      </c>
      <c r="AL171" s="28" t="e">
        <f t="shared" si="84"/>
        <v>#N/A</v>
      </c>
      <c r="AM171" s="28" t="e">
        <f t="shared" si="85"/>
        <v>#N/A</v>
      </c>
      <c r="AN171" s="28" t="e">
        <f t="shared" si="86"/>
        <v>#N/A</v>
      </c>
      <c r="AO171" s="28" t="e">
        <f t="shared" si="87"/>
        <v>#N/A</v>
      </c>
      <c r="AP171" s="28" t="e">
        <f t="shared" si="88"/>
        <v>#N/A</v>
      </c>
      <c r="AQ171" s="28" t="e">
        <f t="shared" si="89"/>
        <v>#N/A</v>
      </c>
      <c r="AR171" s="28" t="e">
        <f t="shared" si="90"/>
        <v>#N/A</v>
      </c>
      <c r="AS171" s="28" t="e">
        <f t="shared" si="91"/>
        <v>#N/A</v>
      </c>
      <c r="AT171" s="28" t="e">
        <f t="shared" si="92"/>
        <v>#N/A</v>
      </c>
      <c r="AV171" s="31" t="e">
        <f>IF(O171&gt;MAX($V$4:$AE$4),MAX($V$4:$AE$4)-0.1,IF(O171&lt;MIN($V$4:$AE153),MIN($V$4:$AE$4)+0.1,O171))</f>
        <v>#DIV/0!</v>
      </c>
      <c r="AW171" s="31">
        <f t="shared" si="93"/>
        <v>0</v>
      </c>
      <c r="AX171" s="28" t="e">
        <f t="shared" si="94"/>
        <v>#DIV/0!</v>
      </c>
      <c r="AY171" s="28" t="e">
        <f t="shared" si="95"/>
        <v>#DIV/0!</v>
      </c>
      <c r="AZ171" s="28" t="e">
        <f t="shared" si="96"/>
        <v>#DIV/0!</v>
      </c>
      <c r="BA171" s="28" t="e">
        <f t="shared" si="97"/>
        <v>#DIV/0!</v>
      </c>
      <c r="BB171" s="28" t="e">
        <f t="shared" si="98"/>
        <v>#N/A</v>
      </c>
      <c r="BC171" s="28" t="e">
        <f t="shared" si="99"/>
        <v>#N/A</v>
      </c>
      <c r="BD171" s="28" t="e">
        <f t="shared" si="100"/>
        <v>#N/A</v>
      </c>
      <c r="BE171" s="28" t="e">
        <f t="shared" si="101"/>
        <v>#N/A</v>
      </c>
      <c r="BF171" s="28" t="e">
        <f t="shared" si="102"/>
        <v>#DIV/0!</v>
      </c>
      <c r="BG171" s="28" t="e">
        <f t="shared" si="103"/>
        <v>#DIV/0!</v>
      </c>
      <c r="BH171" s="28" t="e">
        <f t="shared" si="104"/>
        <v>#DIV/0!</v>
      </c>
      <c r="BI171" s="28" t="e">
        <f t="shared" si="105"/>
        <v>#DIV/0!</v>
      </c>
    </row>
    <row r="172" spans="2:61" ht="75" customHeight="1" x14ac:dyDescent="0.25">
      <c r="B172" s="17"/>
      <c r="C172" s="17"/>
      <c r="D172" s="17"/>
      <c r="E172" s="17"/>
      <c r="F172" s="17"/>
      <c r="G172" s="17"/>
      <c r="H172" s="65"/>
      <c r="I172" s="17"/>
      <c r="J172" s="17"/>
      <c r="K172" s="17"/>
      <c r="L172" s="17"/>
      <c r="M172" s="17" t="e">
        <f t="shared" si="106"/>
        <v>#DIV/0!</v>
      </c>
      <c r="N172" s="17"/>
      <c r="O172" s="17"/>
      <c r="P172" s="17"/>
      <c r="Q172" s="17"/>
      <c r="R172" s="17"/>
      <c r="S172" s="17"/>
      <c r="U172" s="17">
        <f t="shared" si="72"/>
        <v>0</v>
      </c>
      <c r="V172" s="17" t="e">
        <f t="shared" si="73"/>
        <v>#DIV/0!</v>
      </c>
      <c r="W172" s="30" t="e">
        <f t="shared" si="74"/>
        <v>#DIV/0!</v>
      </c>
      <c r="X172" s="17" t="e">
        <f t="shared" si="75"/>
        <v>#N/A</v>
      </c>
      <c r="Y172" s="17" t="e">
        <f t="shared" si="76"/>
        <v>#DIV/0!</v>
      </c>
      <c r="Z172" s="17" t="e">
        <f t="shared" si="77"/>
        <v>#N/A</v>
      </c>
      <c r="AA172" s="43" t="e">
        <f t="shared" si="78"/>
        <v>#DIV/0!</v>
      </c>
      <c r="AG172" s="31">
        <f t="shared" si="79"/>
        <v>0</v>
      </c>
      <c r="AH172" s="31">
        <f t="shared" si="80"/>
        <v>0</v>
      </c>
      <c r="AI172" s="28" t="e">
        <f t="shared" si="81"/>
        <v>#N/A</v>
      </c>
      <c r="AJ172" s="28" t="e">
        <f t="shared" si="82"/>
        <v>#N/A</v>
      </c>
      <c r="AK172" s="28" t="e">
        <f t="shared" si="83"/>
        <v>#N/A</v>
      </c>
      <c r="AL172" s="28" t="e">
        <f t="shared" si="84"/>
        <v>#N/A</v>
      </c>
      <c r="AM172" s="28" t="e">
        <f t="shared" si="85"/>
        <v>#N/A</v>
      </c>
      <c r="AN172" s="28" t="e">
        <f t="shared" si="86"/>
        <v>#N/A</v>
      </c>
      <c r="AO172" s="28" t="e">
        <f t="shared" si="87"/>
        <v>#N/A</v>
      </c>
      <c r="AP172" s="28" t="e">
        <f t="shared" si="88"/>
        <v>#N/A</v>
      </c>
      <c r="AQ172" s="28" t="e">
        <f t="shared" si="89"/>
        <v>#N/A</v>
      </c>
      <c r="AR172" s="28" t="e">
        <f t="shared" si="90"/>
        <v>#N/A</v>
      </c>
      <c r="AS172" s="28" t="e">
        <f t="shared" si="91"/>
        <v>#N/A</v>
      </c>
      <c r="AT172" s="28" t="e">
        <f t="shared" si="92"/>
        <v>#N/A</v>
      </c>
      <c r="AV172" s="31" t="e">
        <f>IF(O172&gt;MAX($V$4:$AE$4),MAX($V$4:$AE$4)-0.1,IF(O172&lt;MIN($V$4:$AE154),MIN($V$4:$AE$4)+0.1,O172))</f>
        <v>#DIV/0!</v>
      </c>
      <c r="AW172" s="31">
        <f t="shared" si="93"/>
        <v>0</v>
      </c>
      <c r="AX172" s="28" t="e">
        <f t="shared" si="94"/>
        <v>#DIV/0!</v>
      </c>
      <c r="AY172" s="28" t="e">
        <f t="shared" si="95"/>
        <v>#DIV/0!</v>
      </c>
      <c r="AZ172" s="28" t="e">
        <f t="shared" si="96"/>
        <v>#DIV/0!</v>
      </c>
      <c r="BA172" s="28" t="e">
        <f t="shared" si="97"/>
        <v>#DIV/0!</v>
      </c>
      <c r="BB172" s="28" t="e">
        <f t="shared" si="98"/>
        <v>#N/A</v>
      </c>
      <c r="BC172" s="28" t="e">
        <f t="shared" si="99"/>
        <v>#N/A</v>
      </c>
      <c r="BD172" s="28" t="e">
        <f t="shared" si="100"/>
        <v>#N/A</v>
      </c>
      <c r="BE172" s="28" t="e">
        <f t="shared" si="101"/>
        <v>#N/A</v>
      </c>
      <c r="BF172" s="28" t="e">
        <f t="shared" si="102"/>
        <v>#DIV/0!</v>
      </c>
      <c r="BG172" s="28" t="e">
        <f t="shared" si="103"/>
        <v>#DIV/0!</v>
      </c>
      <c r="BH172" s="28" t="e">
        <f t="shared" si="104"/>
        <v>#DIV/0!</v>
      </c>
      <c r="BI172" s="28" t="e">
        <f t="shared" si="105"/>
        <v>#DIV/0!</v>
      </c>
    </row>
    <row r="173" spans="2:61" ht="75" customHeight="1" x14ac:dyDescent="0.25">
      <c r="B173" s="17"/>
      <c r="C173" s="17"/>
      <c r="D173" s="17"/>
      <c r="E173" s="17"/>
      <c r="F173" s="17"/>
      <c r="G173" s="17"/>
      <c r="H173" s="65"/>
      <c r="I173" s="17"/>
      <c r="J173" s="17"/>
      <c r="K173" s="17"/>
      <c r="L173" s="17"/>
      <c r="M173" s="17" t="e">
        <f t="shared" si="106"/>
        <v>#DIV/0!</v>
      </c>
      <c r="N173" s="17"/>
      <c r="O173" s="17"/>
      <c r="P173" s="17"/>
      <c r="Q173" s="17"/>
      <c r="R173" s="17"/>
      <c r="S173" s="17"/>
      <c r="U173" s="17">
        <f t="shared" si="72"/>
        <v>0</v>
      </c>
      <c r="V173" s="17" t="e">
        <f t="shared" si="73"/>
        <v>#DIV/0!</v>
      </c>
      <c r="W173" s="30" t="e">
        <f t="shared" si="74"/>
        <v>#DIV/0!</v>
      </c>
      <c r="X173" s="17" t="e">
        <f t="shared" si="75"/>
        <v>#N/A</v>
      </c>
      <c r="Y173" s="17" t="e">
        <f t="shared" si="76"/>
        <v>#DIV/0!</v>
      </c>
      <c r="Z173" s="17" t="e">
        <f t="shared" si="77"/>
        <v>#N/A</v>
      </c>
      <c r="AA173" s="43" t="e">
        <f t="shared" si="78"/>
        <v>#DIV/0!</v>
      </c>
      <c r="AG173" s="31">
        <f t="shared" si="79"/>
        <v>0</v>
      </c>
      <c r="AH173" s="31">
        <f t="shared" si="80"/>
        <v>0</v>
      </c>
      <c r="AI173" s="28" t="e">
        <f t="shared" si="81"/>
        <v>#N/A</v>
      </c>
      <c r="AJ173" s="28" t="e">
        <f t="shared" si="82"/>
        <v>#N/A</v>
      </c>
      <c r="AK173" s="28" t="e">
        <f t="shared" si="83"/>
        <v>#N/A</v>
      </c>
      <c r="AL173" s="28" t="e">
        <f t="shared" si="84"/>
        <v>#N/A</v>
      </c>
      <c r="AM173" s="28" t="e">
        <f t="shared" si="85"/>
        <v>#N/A</v>
      </c>
      <c r="AN173" s="28" t="e">
        <f t="shared" si="86"/>
        <v>#N/A</v>
      </c>
      <c r="AO173" s="28" t="e">
        <f t="shared" si="87"/>
        <v>#N/A</v>
      </c>
      <c r="AP173" s="28" t="e">
        <f t="shared" si="88"/>
        <v>#N/A</v>
      </c>
      <c r="AQ173" s="28" t="e">
        <f t="shared" si="89"/>
        <v>#N/A</v>
      </c>
      <c r="AR173" s="28" t="e">
        <f t="shared" si="90"/>
        <v>#N/A</v>
      </c>
      <c r="AS173" s="28" t="e">
        <f t="shared" si="91"/>
        <v>#N/A</v>
      </c>
      <c r="AT173" s="28" t="e">
        <f t="shared" si="92"/>
        <v>#N/A</v>
      </c>
      <c r="AV173" s="31" t="e">
        <f>IF(O173&gt;MAX($V$4:$AE$4),MAX($V$4:$AE$4)-0.1,IF(O173&lt;MIN($V$4:$AE155),MIN($V$4:$AE$4)+0.1,O173))</f>
        <v>#DIV/0!</v>
      </c>
      <c r="AW173" s="31">
        <f t="shared" si="93"/>
        <v>0</v>
      </c>
      <c r="AX173" s="28" t="e">
        <f t="shared" si="94"/>
        <v>#DIV/0!</v>
      </c>
      <c r="AY173" s="28" t="e">
        <f t="shared" si="95"/>
        <v>#DIV/0!</v>
      </c>
      <c r="AZ173" s="28" t="e">
        <f t="shared" si="96"/>
        <v>#DIV/0!</v>
      </c>
      <c r="BA173" s="28" t="e">
        <f t="shared" si="97"/>
        <v>#DIV/0!</v>
      </c>
      <c r="BB173" s="28" t="e">
        <f t="shared" si="98"/>
        <v>#N/A</v>
      </c>
      <c r="BC173" s="28" t="e">
        <f t="shared" si="99"/>
        <v>#N/A</v>
      </c>
      <c r="BD173" s="28" t="e">
        <f t="shared" si="100"/>
        <v>#N/A</v>
      </c>
      <c r="BE173" s="28" t="e">
        <f t="shared" si="101"/>
        <v>#N/A</v>
      </c>
      <c r="BF173" s="28" t="e">
        <f t="shared" si="102"/>
        <v>#DIV/0!</v>
      </c>
      <c r="BG173" s="28" t="e">
        <f t="shared" si="103"/>
        <v>#DIV/0!</v>
      </c>
      <c r="BH173" s="28" t="e">
        <f t="shared" si="104"/>
        <v>#DIV/0!</v>
      </c>
      <c r="BI173" s="28" t="e">
        <f t="shared" si="105"/>
        <v>#DIV/0!</v>
      </c>
    </row>
    <row r="174" spans="2:61" ht="75" customHeight="1" x14ac:dyDescent="0.25">
      <c r="B174" s="17"/>
      <c r="C174" s="17"/>
      <c r="D174" s="17"/>
      <c r="E174" s="17"/>
      <c r="F174" s="17"/>
      <c r="G174" s="17"/>
      <c r="H174" s="65"/>
      <c r="I174" s="17"/>
      <c r="J174" s="17"/>
      <c r="K174" s="17"/>
      <c r="L174" s="17"/>
      <c r="M174" s="17" t="e">
        <f t="shared" si="106"/>
        <v>#DIV/0!</v>
      </c>
      <c r="N174" s="17"/>
      <c r="O174" s="17"/>
      <c r="P174" s="17"/>
      <c r="Q174" s="17"/>
      <c r="R174" s="17"/>
      <c r="S174" s="17"/>
      <c r="U174" s="17">
        <f t="shared" si="72"/>
        <v>0</v>
      </c>
      <c r="V174" s="17" t="e">
        <f t="shared" si="73"/>
        <v>#DIV/0!</v>
      </c>
      <c r="W174" s="30" t="e">
        <f t="shared" si="74"/>
        <v>#DIV/0!</v>
      </c>
      <c r="X174" s="17" t="e">
        <f t="shared" si="75"/>
        <v>#N/A</v>
      </c>
      <c r="Y174" s="17" t="e">
        <f t="shared" si="76"/>
        <v>#DIV/0!</v>
      </c>
      <c r="Z174" s="17" t="e">
        <f t="shared" si="77"/>
        <v>#N/A</v>
      </c>
      <c r="AA174" s="43" t="e">
        <f t="shared" si="78"/>
        <v>#DIV/0!</v>
      </c>
      <c r="AG174" s="31">
        <f t="shared" si="79"/>
        <v>0</v>
      </c>
      <c r="AH174" s="31">
        <f t="shared" si="80"/>
        <v>0</v>
      </c>
      <c r="AI174" s="28" t="e">
        <f t="shared" si="81"/>
        <v>#N/A</v>
      </c>
      <c r="AJ174" s="28" t="e">
        <f t="shared" si="82"/>
        <v>#N/A</v>
      </c>
      <c r="AK174" s="28" t="e">
        <f t="shared" si="83"/>
        <v>#N/A</v>
      </c>
      <c r="AL174" s="28" t="e">
        <f t="shared" si="84"/>
        <v>#N/A</v>
      </c>
      <c r="AM174" s="28" t="e">
        <f t="shared" si="85"/>
        <v>#N/A</v>
      </c>
      <c r="AN174" s="28" t="e">
        <f t="shared" si="86"/>
        <v>#N/A</v>
      </c>
      <c r="AO174" s="28" t="e">
        <f t="shared" si="87"/>
        <v>#N/A</v>
      </c>
      <c r="AP174" s="28" t="e">
        <f t="shared" si="88"/>
        <v>#N/A</v>
      </c>
      <c r="AQ174" s="28" t="e">
        <f t="shared" si="89"/>
        <v>#N/A</v>
      </c>
      <c r="AR174" s="28" t="e">
        <f t="shared" si="90"/>
        <v>#N/A</v>
      </c>
      <c r="AS174" s="28" t="e">
        <f t="shared" si="91"/>
        <v>#N/A</v>
      </c>
      <c r="AT174" s="28" t="e">
        <f t="shared" si="92"/>
        <v>#N/A</v>
      </c>
      <c r="AV174" s="31" t="e">
        <f>IF(O174&gt;MAX($V$4:$AE$4),MAX($V$4:$AE$4)-0.1,IF(O174&lt;MIN($V$4:$AE156),MIN($V$4:$AE$4)+0.1,O174))</f>
        <v>#DIV/0!</v>
      </c>
      <c r="AW174" s="31">
        <f t="shared" si="93"/>
        <v>0</v>
      </c>
      <c r="AX174" s="28" t="e">
        <f t="shared" si="94"/>
        <v>#DIV/0!</v>
      </c>
      <c r="AY174" s="28" t="e">
        <f t="shared" si="95"/>
        <v>#DIV/0!</v>
      </c>
      <c r="AZ174" s="28" t="e">
        <f t="shared" si="96"/>
        <v>#DIV/0!</v>
      </c>
      <c r="BA174" s="28" t="e">
        <f t="shared" si="97"/>
        <v>#DIV/0!</v>
      </c>
      <c r="BB174" s="28" t="e">
        <f t="shared" si="98"/>
        <v>#N/A</v>
      </c>
      <c r="BC174" s="28" t="e">
        <f t="shared" si="99"/>
        <v>#N/A</v>
      </c>
      <c r="BD174" s="28" t="e">
        <f t="shared" si="100"/>
        <v>#N/A</v>
      </c>
      <c r="BE174" s="28" t="e">
        <f t="shared" si="101"/>
        <v>#N/A</v>
      </c>
      <c r="BF174" s="28" t="e">
        <f t="shared" si="102"/>
        <v>#DIV/0!</v>
      </c>
      <c r="BG174" s="28" t="e">
        <f t="shared" si="103"/>
        <v>#DIV/0!</v>
      </c>
      <c r="BH174" s="28" t="e">
        <f t="shared" si="104"/>
        <v>#DIV/0!</v>
      </c>
      <c r="BI174" s="28" t="e">
        <f t="shared" si="105"/>
        <v>#DIV/0!</v>
      </c>
    </row>
    <row r="175" spans="2:61" ht="75" customHeight="1" x14ac:dyDescent="0.25">
      <c r="B175" s="17"/>
      <c r="C175" s="17"/>
      <c r="D175" s="17"/>
      <c r="E175" s="17"/>
      <c r="F175" s="17"/>
      <c r="G175" s="17"/>
      <c r="H175" s="65"/>
      <c r="I175" s="17"/>
      <c r="J175" s="17"/>
      <c r="K175" s="17"/>
      <c r="L175" s="17"/>
      <c r="M175" s="17" t="e">
        <f t="shared" si="106"/>
        <v>#DIV/0!</v>
      </c>
      <c r="N175" s="17"/>
      <c r="O175" s="17"/>
      <c r="P175" s="17"/>
      <c r="Q175" s="17"/>
      <c r="R175" s="17"/>
      <c r="S175" s="17"/>
      <c r="U175" s="17">
        <f t="shared" si="72"/>
        <v>0</v>
      </c>
      <c r="V175" s="17" t="e">
        <f t="shared" si="73"/>
        <v>#DIV/0!</v>
      </c>
      <c r="W175" s="30" t="e">
        <f t="shared" si="74"/>
        <v>#DIV/0!</v>
      </c>
      <c r="X175" s="17" t="e">
        <f t="shared" si="75"/>
        <v>#N/A</v>
      </c>
      <c r="Y175" s="17" t="e">
        <f t="shared" si="76"/>
        <v>#DIV/0!</v>
      </c>
      <c r="Z175" s="17" t="e">
        <f t="shared" si="77"/>
        <v>#N/A</v>
      </c>
      <c r="AA175" s="43" t="e">
        <f t="shared" si="78"/>
        <v>#DIV/0!</v>
      </c>
      <c r="AG175" s="31">
        <f t="shared" si="79"/>
        <v>0</v>
      </c>
      <c r="AH175" s="31">
        <f t="shared" si="80"/>
        <v>0</v>
      </c>
      <c r="AI175" s="28" t="e">
        <f t="shared" si="81"/>
        <v>#N/A</v>
      </c>
      <c r="AJ175" s="28" t="e">
        <f t="shared" si="82"/>
        <v>#N/A</v>
      </c>
      <c r="AK175" s="28" t="e">
        <f t="shared" si="83"/>
        <v>#N/A</v>
      </c>
      <c r="AL175" s="28" t="e">
        <f t="shared" si="84"/>
        <v>#N/A</v>
      </c>
      <c r="AM175" s="28" t="e">
        <f t="shared" si="85"/>
        <v>#N/A</v>
      </c>
      <c r="AN175" s="28" t="e">
        <f t="shared" si="86"/>
        <v>#N/A</v>
      </c>
      <c r="AO175" s="28" t="e">
        <f t="shared" si="87"/>
        <v>#N/A</v>
      </c>
      <c r="AP175" s="28" t="e">
        <f t="shared" si="88"/>
        <v>#N/A</v>
      </c>
      <c r="AQ175" s="28" t="e">
        <f t="shared" si="89"/>
        <v>#N/A</v>
      </c>
      <c r="AR175" s="28" t="e">
        <f t="shared" si="90"/>
        <v>#N/A</v>
      </c>
      <c r="AS175" s="28" t="e">
        <f t="shared" si="91"/>
        <v>#N/A</v>
      </c>
      <c r="AT175" s="28" t="e">
        <f t="shared" si="92"/>
        <v>#N/A</v>
      </c>
      <c r="AV175" s="31" t="e">
        <f>IF(O175&gt;MAX($V$4:$AE$4),MAX($V$4:$AE$4)-0.1,IF(O175&lt;MIN($V$4:$AE157),MIN($V$4:$AE$4)+0.1,O175))</f>
        <v>#DIV/0!</v>
      </c>
      <c r="AW175" s="31">
        <f t="shared" si="93"/>
        <v>0</v>
      </c>
      <c r="AX175" s="28" t="e">
        <f t="shared" si="94"/>
        <v>#DIV/0!</v>
      </c>
      <c r="AY175" s="28" t="e">
        <f t="shared" si="95"/>
        <v>#DIV/0!</v>
      </c>
      <c r="AZ175" s="28" t="e">
        <f t="shared" si="96"/>
        <v>#DIV/0!</v>
      </c>
      <c r="BA175" s="28" t="e">
        <f t="shared" si="97"/>
        <v>#DIV/0!</v>
      </c>
      <c r="BB175" s="28" t="e">
        <f t="shared" si="98"/>
        <v>#N/A</v>
      </c>
      <c r="BC175" s="28" t="e">
        <f t="shared" si="99"/>
        <v>#N/A</v>
      </c>
      <c r="BD175" s="28" t="e">
        <f t="shared" si="100"/>
        <v>#N/A</v>
      </c>
      <c r="BE175" s="28" t="e">
        <f t="shared" si="101"/>
        <v>#N/A</v>
      </c>
      <c r="BF175" s="28" t="e">
        <f t="shared" si="102"/>
        <v>#DIV/0!</v>
      </c>
      <c r="BG175" s="28" t="e">
        <f t="shared" si="103"/>
        <v>#DIV/0!</v>
      </c>
      <c r="BH175" s="28" t="e">
        <f t="shared" si="104"/>
        <v>#DIV/0!</v>
      </c>
      <c r="BI175" s="28" t="e">
        <f t="shared" si="105"/>
        <v>#DIV/0!</v>
      </c>
    </row>
    <row r="176" spans="2:61" ht="75" customHeight="1" x14ac:dyDescent="0.25">
      <c r="B176" s="17"/>
      <c r="C176" s="17"/>
      <c r="D176" s="17"/>
      <c r="E176" s="17"/>
      <c r="F176" s="17"/>
      <c r="G176" s="17"/>
      <c r="H176" s="65"/>
      <c r="I176" s="17"/>
      <c r="J176" s="17"/>
      <c r="K176" s="17"/>
      <c r="L176" s="17"/>
      <c r="M176" s="17" t="e">
        <f t="shared" si="106"/>
        <v>#DIV/0!</v>
      </c>
      <c r="N176" s="17"/>
      <c r="O176" s="17"/>
      <c r="P176" s="17"/>
      <c r="Q176" s="17"/>
      <c r="R176" s="17"/>
      <c r="S176" s="17"/>
      <c r="U176" s="17">
        <f t="shared" si="72"/>
        <v>0</v>
      </c>
      <c r="V176" s="17" t="e">
        <f t="shared" si="73"/>
        <v>#DIV/0!</v>
      </c>
      <c r="W176" s="30" t="e">
        <f t="shared" si="74"/>
        <v>#DIV/0!</v>
      </c>
      <c r="X176" s="17" t="e">
        <f t="shared" si="75"/>
        <v>#N/A</v>
      </c>
      <c r="Y176" s="17" t="e">
        <f t="shared" si="76"/>
        <v>#DIV/0!</v>
      </c>
      <c r="Z176" s="17" t="e">
        <f t="shared" si="77"/>
        <v>#N/A</v>
      </c>
      <c r="AA176" s="43" t="e">
        <f t="shared" si="78"/>
        <v>#DIV/0!</v>
      </c>
      <c r="AG176" s="31">
        <f t="shared" si="79"/>
        <v>0</v>
      </c>
      <c r="AH176" s="31">
        <f t="shared" si="80"/>
        <v>0</v>
      </c>
      <c r="AI176" s="28" t="e">
        <f t="shared" si="81"/>
        <v>#N/A</v>
      </c>
      <c r="AJ176" s="28" t="e">
        <f t="shared" si="82"/>
        <v>#N/A</v>
      </c>
      <c r="AK176" s="28" t="e">
        <f t="shared" si="83"/>
        <v>#N/A</v>
      </c>
      <c r="AL176" s="28" t="e">
        <f t="shared" si="84"/>
        <v>#N/A</v>
      </c>
      <c r="AM176" s="28" t="e">
        <f t="shared" si="85"/>
        <v>#N/A</v>
      </c>
      <c r="AN176" s="28" t="e">
        <f t="shared" si="86"/>
        <v>#N/A</v>
      </c>
      <c r="AO176" s="28" t="e">
        <f t="shared" si="87"/>
        <v>#N/A</v>
      </c>
      <c r="AP176" s="28" t="e">
        <f t="shared" si="88"/>
        <v>#N/A</v>
      </c>
      <c r="AQ176" s="28" t="e">
        <f t="shared" si="89"/>
        <v>#N/A</v>
      </c>
      <c r="AR176" s="28" t="e">
        <f t="shared" si="90"/>
        <v>#N/A</v>
      </c>
      <c r="AS176" s="28" t="e">
        <f t="shared" si="91"/>
        <v>#N/A</v>
      </c>
      <c r="AT176" s="28" t="e">
        <f t="shared" si="92"/>
        <v>#N/A</v>
      </c>
      <c r="AV176" s="31" t="e">
        <f>IF(O176&gt;MAX($V$4:$AE$4),MAX($V$4:$AE$4)-0.1,IF(O176&lt;MIN($V$4:$AE158),MIN($V$4:$AE$4)+0.1,O176))</f>
        <v>#DIV/0!</v>
      </c>
      <c r="AW176" s="31">
        <f t="shared" si="93"/>
        <v>0</v>
      </c>
      <c r="AX176" s="28" t="e">
        <f t="shared" si="94"/>
        <v>#DIV/0!</v>
      </c>
      <c r="AY176" s="28" t="e">
        <f t="shared" si="95"/>
        <v>#DIV/0!</v>
      </c>
      <c r="AZ176" s="28" t="e">
        <f t="shared" si="96"/>
        <v>#DIV/0!</v>
      </c>
      <c r="BA176" s="28" t="e">
        <f t="shared" si="97"/>
        <v>#DIV/0!</v>
      </c>
      <c r="BB176" s="28" t="e">
        <f t="shared" si="98"/>
        <v>#N/A</v>
      </c>
      <c r="BC176" s="28" t="e">
        <f t="shared" si="99"/>
        <v>#N/A</v>
      </c>
      <c r="BD176" s="28" t="e">
        <f t="shared" si="100"/>
        <v>#N/A</v>
      </c>
      <c r="BE176" s="28" t="e">
        <f t="shared" si="101"/>
        <v>#N/A</v>
      </c>
      <c r="BF176" s="28" t="e">
        <f t="shared" si="102"/>
        <v>#DIV/0!</v>
      </c>
      <c r="BG176" s="28" t="e">
        <f t="shared" si="103"/>
        <v>#DIV/0!</v>
      </c>
      <c r="BH176" s="28" t="e">
        <f t="shared" si="104"/>
        <v>#DIV/0!</v>
      </c>
      <c r="BI176" s="28" t="e">
        <f t="shared" si="105"/>
        <v>#DIV/0!</v>
      </c>
    </row>
    <row r="177" spans="2:61" ht="75" customHeight="1" x14ac:dyDescent="0.25">
      <c r="B177" s="17"/>
      <c r="C177" s="17"/>
      <c r="D177" s="17"/>
      <c r="E177" s="17"/>
      <c r="F177" s="17"/>
      <c r="G177" s="17"/>
      <c r="H177" s="65"/>
      <c r="I177" s="17"/>
      <c r="J177" s="17"/>
      <c r="K177" s="17"/>
      <c r="L177" s="17"/>
      <c r="M177" s="17" t="e">
        <f t="shared" si="106"/>
        <v>#DIV/0!</v>
      </c>
      <c r="N177" s="17"/>
      <c r="O177" s="17"/>
      <c r="P177" s="17"/>
      <c r="Q177" s="17"/>
      <c r="R177" s="17"/>
      <c r="S177" s="17"/>
      <c r="U177" s="17">
        <f t="shared" si="72"/>
        <v>0</v>
      </c>
      <c r="V177" s="17" t="e">
        <f t="shared" si="73"/>
        <v>#DIV/0!</v>
      </c>
      <c r="W177" s="30" t="e">
        <f t="shared" si="74"/>
        <v>#DIV/0!</v>
      </c>
      <c r="X177" s="17" t="e">
        <f t="shared" si="75"/>
        <v>#N/A</v>
      </c>
      <c r="Y177" s="17" t="e">
        <f t="shared" si="76"/>
        <v>#DIV/0!</v>
      </c>
      <c r="Z177" s="17" t="e">
        <f t="shared" si="77"/>
        <v>#N/A</v>
      </c>
      <c r="AA177" s="43" t="e">
        <f t="shared" si="78"/>
        <v>#DIV/0!</v>
      </c>
      <c r="AG177" s="31">
        <f t="shared" si="79"/>
        <v>0</v>
      </c>
      <c r="AH177" s="31">
        <f t="shared" si="80"/>
        <v>0</v>
      </c>
      <c r="AI177" s="28" t="e">
        <f t="shared" si="81"/>
        <v>#N/A</v>
      </c>
      <c r="AJ177" s="28" t="e">
        <f t="shared" si="82"/>
        <v>#N/A</v>
      </c>
      <c r="AK177" s="28" t="e">
        <f t="shared" si="83"/>
        <v>#N/A</v>
      </c>
      <c r="AL177" s="28" t="e">
        <f t="shared" si="84"/>
        <v>#N/A</v>
      </c>
      <c r="AM177" s="28" t="e">
        <f t="shared" si="85"/>
        <v>#N/A</v>
      </c>
      <c r="AN177" s="28" t="e">
        <f t="shared" si="86"/>
        <v>#N/A</v>
      </c>
      <c r="AO177" s="28" t="e">
        <f t="shared" si="87"/>
        <v>#N/A</v>
      </c>
      <c r="AP177" s="28" t="e">
        <f t="shared" si="88"/>
        <v>#N/A</v>
      </c>
      <c r="AQ177" s="28" t="e">
        <f t="shared" si="89"/>
        <v>#N/A</v>
      </c>
      <c r="AR177" s="28" t="e">
        <f t="shared" si="90"/>
        <v>#N/A</v>
      </c>
      <c r="AS177" s="28" t="e">
        <f t="shared" si="91"/>
        <v>#N/A</v>
      </c>
      <c r="AT177" s="28" t="e">
        <f t="shared" si="92"/>
        <v>#N/A</v>
      </c>
      <c r="AV177" s="31" t="e">
        <f>IF(O177&gt;MAX($V$4:$AE$4),MAX($V$4:$AE$4)-0.1,IF(O177&lt;MIN($V$4:$AE159),MIN($V$4:$AE$4)+0.1,O177))</f>
        <v>#DIV/0!</v>
      </c>
      <c r="AW177" s="31">
        <f t="shared" si="93"/>
        <v>0</v>
      </c>
      <c r="AX177" s="28" t="e">
        <f t="shared" si="94"/>
        <v>#DIV/0!</v>
      </c>
      <c r="AY177" s="28" t="e">
        <f t="shared" si="95"/>
        <v>#DIV/0!</v>
      </c>
      <c r="AZ177" s="28" t="e">
        <f t="shared" si="96"/>
        <v>#DIV/0!</v>
      </c>
      <c r="BA177" s="28" t="e">
        <f t="shared" si="97"/>
        <v>#DIV/0!</v>
      </c>
      <c r="BB177" s="28" t="e">
        <f t="shared" si="98"/>
        <v>#N/A</v>
      </c>
      <c r="BC177" s="28" t="e">
        <f t="shared" si="99"/>
        <v>#N/A</v>
      </c>
      <c r="BD177" s="28" t="e">
        <f t="shared" si="100"/>
        <v>#N/A</v>
      </c>
      <c r="BE177" s="28" t="e">
        <f t="shared" si="101"/>
        <v>#N/A</v>
      </c>
      <c r="BF177" s="28" t="e">
        <f t="shared" si="102"/>
        <v>#DIV/0!</v>
      </c>
      <c r="BG177" s="28" t="e">
        <f t="shared" si="103"/>
        <v>#DIV/0!</v>
      </c>
      <c r="BH177" s="28" t="e">
        <f t="shared" si="104"/>
        <v>#DIV/0!</v>
      </c>
      <c r="BI177" s="28" t="e">
        <f t="shared" si="105"/>
        <v>#DIV/0!</v>
      </c>
    </row>
    <row r="178" spans="2:61" ht="75" customHeight="1" x14ac:dyDescent="0.25">
      <c r="B178" s="17"/>
      <c r="C178" s="17"/>
      <c r="D178" s="17"/>
      <c r="E178" s="17"/>
      <c r="F178" s="17"/>
      <c r="G178" s="17"/>
      <c r="H178" s="65"/>
      <c r="I178" s="17"/>
      <c r="J178" s="17"/>
      <c r="K178" s="17"/>
      <c r="L178" s="17"/>
      <c r="M178" s="17" t="e">
        <f t="shared" si="106"/>
        <v>#DIV/0!</v>
      </c>
      <c r="N178" s="17"/>
      <c r="O178" s="17"/>
      <c r="P178" s="17"/>
      <c r="Q178" s="17"/>
      <c r="R178" s="17"/>
      <c r="S178" s="17"/>
      <c r="U178" s="17">
        <f t="shared" si="72"/>
        <v>0</v>
      </c>
      <c r="V178" s="17" t="e">
        <f t="shared" si="73"/>
        <v>#DIV/0!</v>
      </c>
      <c r="W178" s="30" t="e">
        <f t="shared" si="74"/>
        <v>#DIV/0!</v>
      </c>
      <c r="X178" s="17" t="e">
        <f t="shared" si="75"/>
        <v>#N/A</v>
      </c>
      <c r="Y178" s="17" t="e">
        <f t="shared" si="76"/>
        <v>#DIV/0!</v>
      </c>
      <c r="Z178" s="17" t="e">
        <f t="shared" si="77"/>
        <v>#N/A</v>
      </c>
      <c r="AA178" s="43" t="e">
        <f t="shared" si="78"/>
        <v>#DIV/0!</v>
      </c>
      <c r="AG178" s="31">
        <f t="shared" si="79"/>
        <v>0</v>
      </c>
      <c r="AH178" s="31">
        <f t="shared" si="80"/>
        <v>0</v>
      </c>
      <c r="AI178" s="28" t="e">
        <f t="shared" si="81"/>
        <v>#N/A</v>
      </c>
      <c r="AJ178" s="28" t="e">
        <f t="shared" si="82"/>
        <v>#N/A</v>
      </c>
      <c r="AK178" s="28" t="e">
        <f t="shared" si="83"/>
        <v>#N/A</v>
      </c>
      <c r="AL178" s="28" t="e">
        <f t="shared" si="84"/>
        <v>#N/A</v>
      </c>
      <c r="AM178" s="28" t="e">
        <f t="shared" si="85"/>
        <v>#N/A</v>
      </c>
      <c r="AN178" s="28" t="e">
        <f t="shared" si="86"/>
        <v>#N/A</v>
      </c>
      <c r="AO178" s="28" t="e">
        <f t="shared" si="87"/>
        <v>#N/A</v>
      </c>
      <c r="AP178" s="28" t="e">
        <f t="shared" si="88"/>
        <v>#N/A</v>
      </c>
      <c r="AQ178" s="28" t="e">
        <f t="shared" si="89"/>
        <v>#N/A</v>
      </c>
      <c r="AR178" s="28" t="e">
        <f t="shared" si="90"/>
        <v>#N/A</v>
      </c>
      <c r="AS178" s="28" t="e">
        <f t="shared" si="91"/>
        <v>#N/A</v>
      </c>
      <c r="AT178" s="28" t="e">
        <f t="shared" si="92"/>
        <v>#N/A</v>
      </c>
      <c r="AV178" s="31" t="e">
        <f>IF(O178&gt;MAX($V$4:$AE$4),MAX($V$4:$AE$4)-0.1,IF(O178&lt;MIN($V$4:$AE160),MIN($V$4:$AE$4)+0.1,O178))</f>
        <v>#DIV/0!</v>
      </c>
      <c r="AW178" s="31">
        <f t="shared" si="93"/>
        <v>0</v>
      </c>
      <c r="AX178" s="28" t="e">
        <f t="shared" si="94"/>
        <v>#DIV/0!</v>
      </c>
      <c r="AY178" s="28" t="e">
        <f t="shared" si="95"/>
        <v>#DIV/0!</v>
      </c>
      <c r="AZ178" s="28" t="e">
        <f t="shared" si="96"/>
        <v>#DIV/0!</v>
      </c>
      <c r="BA178" s="28" t="e">
        <f t="shared" si="97"/>
        <v>#DIV/0!</v>
      </c>
      <c r="BB178" s="28" t="e">
        <f t="shared" si="98"/>
        <v>#N/A</v>
      </c>
      <c r="BC178" s="28" t="e">
        <f t="shared" si="99"/>
        <v>#N/A</v>
      </c>
      <c r="BD178" s="28" t="e">
        <f t="shared" si="100"/>
        <v>#N/A</v>
      </c>
      <c r="BE178" s="28" t="e">
        <f t="shared" si="101"/>
        <v>#N/A</v>
      </c>
      <c r="BF178" s="28" t="e">
        <f t="shared" si="102"/>
        <v>#DIV/0!</v>
      </c>
      <c r="BG178" s="28" t="e">
        <f t="shared" si="103"/>
        <v>#DIV/0!</v>
      </c>
      <c r="BH178" s="28" t="e">
        <f t="shared" si="104"/>
        <v>#DIV/0!</v>
      </c>
      <c r="BI178" s="28" t="e">
        <f t="shared" si="105"/>
        <v>#DIV/0!</v>
      </c>
    </row>
    <row r="179" spans="2:61" ht="75" customHeight="1" x14ac:dyDescent="0.25">
      <c r="B179" s="17"/>
      <c r="C179" s="17"/>
      <c r="D179" s="17"/>
      <c r="E179" s="17"/>
      <c r="F179" s="17"/>
      <c r="G179" s="17"/>
      <c r="H179" s="65"/>
      <c r="I179" s="17"/>
      <c r="J179" s="17"/>
      <c r="K179" s="17"/>
      <c r="L179" s="17"/>
      <c r="M179" s="17" t="e">
        <f t="shared" si="106"/>
        <v>#DIV/0!</v>
      </c>
      <c r="N179" s="17"/>
      <c r="O179" s="17"/>
      <c r="P179" s="17"/>
      <c r="Q179" s="17"/>
      <c r="R179" s="17"/>
      <c r="S179" s="17"/>
      <c r="U179" s="17">
        <f t="shared" si="72"/>
        <v>0</v>
      </c>
      <c r="V179" s="17" t="e">
        <f t="shared" si="73"/>
        <v>#DIV/0!</v>
      </c>
      <c r="W179" s="30" t="e">
        <f t="shared" si="74"/>
        <v>#DIV/0!</v>
      </c>
      <c r="X179" s="17" t="e">
        <f t="shared" si="75"/>
        <v>#N/A</v>
      </c>
      <c r="Y179" s="17" t="e">
        <f t="shared" si="76"/>
        <v>#DIV/0!</v>
      </c>
      <c r="Z179" s="17" t="e">
        <f t="shared" si="77"/>
        <v>#N/A</v>
      </c>
      <c r="AA179" s="43" t="e">
        <f t="shared" si="78"/>
        <v>#DIV/0!</v>
      </c>
      <c r="AG179" s="31">
        <f t="shared" si="79"/>
        <v>0</v>
      </c>
      <c r="AH179" s="31">
        <f t="shared" si="80"/>
        <v>0</v>
      </c>
      <c r="AI179" s="28" t="e">
        <f t="shared" si="81"/>
        <v>#N/A</v>
      </c>
      <c r="AJ179" s="28" t="e">
        <f t="shared" si="82"/>
        <v>#N/A</v>
      </c>
      <c r="AK179" s="28" t="e">
        <f t="shared" si="83"/>
        <v>#N/A</v>
      </c>
      <c r="AL179" s="28" t="e">
        <f t="shared" si="84"/>
        <v>#N/A</v>
      </c>
      <c r="AM179" s="28" t="e">
        <f t="shared" si="85"/>
        <v>#N/A</v>
      </c>
      <c r="AN179" s="28" t="e">
        <f t="shared" si="86"/>
        <v>#N/A</v>
      </c>
      <c r="AO179" s="28" t="e">
        <f t="shared" si="87"/>
        <v>#N/A</v>
      </c>
      <c r="AP179" s="28" t="e">
        <f t="shared" si="88"/>
        <v>#N/A</v>
      </c>
      <c r="AQ179" s="28" t="e">
        <f t="shared" si="89"/>
        <v>#N/A</v>
      </c>
      <c r="AR179" s="28" t="e">
        <f t="shared" si="90"/>
        <v>#N/A</v>
      </c>
      <c r="AS179" s="28" t="e">
        <f t="shared" si="91"/>
        <v>#N/A</v>
      </c>
      <c r="AT179" s="28" t="e">
        <f t="shared" si="92"/>
        <v>#N/A</v>
      </c>
      <c r="AV179" s="31" t="e">
        <f>IF(O179&gt;MAX($V$4:$AE$4),MAX($V$4:$AE$4)-0.1,IF(O179&lt;MIN($V$4:$AE161),MIN($V$4:$AE$4)+0.1,O179))</f>
        <v>#DIV/0!</v>
      </c>
      <c r="AW179" s="31">
        <f t="shared" si="93"/>
        <v>0</v>
      </c>
      <c r="AX179" s="28" t="e">
        <f t="shared" si="94"/>
        <v>#DIV/0!</v>
      </c>
      <c r="AY179" s="28" t="e">
        <f t="shared" si="95"/>
        <v>#DIV/0!</v>
      </c>
      <c r="AZ179" s="28" t="e">
        <f t="shared" si="96"/>
        <v>#DIV/0!</v>
      </c>
      <c r="BA179" s="28" t="e">
        <f t="shared" si="97"/>
        <v>#DIV/0!</v>
      </c>
      <c r="BB179" s="28" t="e">
        <f t="shared" si="98"/>
        <v>#N/A</v>
      </c>
      <c r="BC179" s="28" t="e">
        <f t="shared" si="99"/>
        <v>#N/A</v>
      </c>
      <c r="BD179" s="28" t="e">
        <f t="shared" si="100"/>
        <v>#N/A</v>
      </c>
      <c r="BE179" s="28" t="e">
        <f t="shared" si="101"/>
        <v>#N/A</v>
      </c>
      <c r="BF179" s="28" t="e">
        <f t="shared" si="102"/>
        <v>#DIV/0!</v>
      </c>
      <c r="BG179" s="28" t="e">
        <f t="shared" si="103"/>
        <v>#DIV/0!</v>
      </c>
      <c r="BH179" s="28" t="e">
        <f t="shared" si="104"/>
        <v>#DIV/0!</v>
      </c>
      <c r="BI179" s="28" t="e">
        <f t="shared" si="105"/>
        <v>#DIV/0!</v>
      </c>
    </row>
    <row r="180" spans="2:61" ht="75" customHeight="1" x14ac:dyDescent="0.25">
      <c r="B180" s="17"/>
      <c r="C180" s="17"/>
      <c r="D180" s="17"/>
      <c r="E180" s="17"/>
      <c r="F180" s="17"/>
      <c r="G180" s="17"/>
      <c r="H180" s="65"/>
      <c r="I180" s="17"/>
      <c r="J180" s="17"/>
      <c r="K180" s="17"/>
      <c r="L180" s="17"/>
      <c r="M180" s="17" t="e">
        <f t="shared" si="106"/>
        <v>#DIV/0!</v>
      </c>
      <c r="N180" s="17"/>
      <c r="O180" s="17"/>
      <c r="P180" s="17"/>
      <c r="Q180" s="17"/>
      <c r="R180" s="17"/>
      <c r="S180" s="17"/>
      <c r="U180" s="17">
        <f t="shared" ref="U180:U200" si="107">Q180/16</f>
        <v>0</v>
      </c>
      <c r="V180" s="17" t="e">
        <f t="shared" ref="V180:V200" si="108">R180/U180</f>
        <v>#DIV/0!</v>
      </c>
      <c r="W180" s="30" t="e">
        <f t="shared" ref="W180:W200" si="109">S180/V180*16</f>
        <v>#DIV/0!</v>
      </c>
      <c r="X180" s="17" t="e">
        <f t="shared" ref="X180:X200" si="110">INT((AQ180+((AR180-AQ180)*(AG180-AK180)/(AL180-AK180)))+(((AS180+((AT180-AS180)*(AG180-AK180)/(AL180-AK180)))-(AQ180+((AR180-AQ180)*(AG180-AK180)/(AL180-AK180))))*(AH180-AO180)/(AP180-AO180)))</f>
        <v>#N/A</v>
      </c>
      <c r="Y180" s="17" t="e">
        <f t="shared" ref="Y180:Y200" si="111">INT((BF180+((BG180-BF180)*(AV180-AZ180)/(BA180-AZ180)))+(((BH180+((BI180-BH180)*(AV180-AZ180)/(BA180-AZ180)))-(BF180+((BG180-BF180)*(AV180-AZ180)/(BA180-AZ180))))*(AW180-BD180)/(BE180-BD180)))</f>
        <v>#DIV/0!</v>
      </c>
      <c r="Z180" s="17" t="e">
        <f t="shared" ref="Z180:Z200" si="112">(X180*(1024-K180)+Y180*K180)/1024</f>
        <v>#N/A</v>
      </c>
      <c r="AA180" s="43" t="e">
        <f t="shared" ref="AA180:AA200" si="113">W180-Z180</f>
        <v>#DIV/0!</v>
      </c>
      <c r="AG180" s="31">
        <f t="shared" ref="AG180:AG200" si="114">IF(O180&gt;MAX($J$4:$S$4),MAX($J$4:$S$4)-0.1,IF(O180&lt;MIN($J$4:$S$4),MIN($J$4:$S$4)+0.1,O180))</f>
        <v>0</v>
      </c>
      <c r="AH180" s="31">
        <f t="shared" ref="AH180:AH200" si="115">IF(P180&gt;MAX($J$5:$S$5),MAX($J$5:$S$5)-0.1,IF(P180&lt;MIN($J$5:$S$5),MIN($J$5:$S$5)+0.1,P180))</f>
        <v>0</v>
      </c>
      <c r="AI180" s="28" t="e">
        <f t="shared" ref="AI180:AI200" si="116">_xlfn.XLOOKUP(AK180,$J$4:$S$4,$J$6:$S$6)</f>
        <v>#N/A</v>
      </c>
      <c r="AJ180" s="28" t="e">
        <f t="shared" ref="AJ180:AJ200" si="117">AI180+1</f>
        <v>#N/A</v>
      </c>
      <c r="AK180" s="28" t="e">
        <f t="shared" ref="AK180:AK200" si="118">HLOOKUP(ROUNDUP(AG180,1),$J$4:$S$4,1,TRUE)</f>
        <v>#N/A</v>
      </c>
      <c r="AL180" s="28" t="e">
        <f t="shared" ref="AL180:AL200" si="119">_xlfn.XLOOKUP(AJ180,$J$6:$S$6,$J$4:$S$4)</f>
        <v>#N/A</v>
      </c>
      <c r="AM180" s="28" t="e">
        <f t="shared" ref="AM180:AM200" si="120">_xlfn.XLOOKUP(AO180,$J$5:$S$5,$J$6:$S$6)</f>
        <v>#N/A</v>
      </c>
      <c r="AN180" s="28" t="e">
        <f t="shared" ref="AN180:AN200" si="121">AM180+1</f>
        <v>#N/A</v>
      </c>
      <c r="AO180" s="28" t="e">
        <f t="shared" ref="AO180:AO200" si="122">HLOOKUP(AH180,$J$5:$S$5,1,TRUE)</f>
        <v>#N/A</v>
      </c>
      <c r="AP180" s="28" t="e">
        <f t="shared" ref="AP180:AP200" si="123">_xlfn.XLOOKUP(AN180,$J$6:$S$6,$J$5:$S$5)</f>
        <v>#N/A</v>
      </c>
      <c r="AQ180" s="28" t="e">
        <f t="shared" ref="AQ180:AQ200" si="124">VLOOKUP(AK180,$I$8:$S$17,AM180+1,FALSE)</f>
        <v>#N/A</v>
      </c>
      <c r="AR180" s="28" t="e">
        <f t="shared" ref="AR180:AR200" si="125">VLOOKUP(AL180,$I$8:$S$17,AM180+1,FALSE)</f>
        <v>#N/A</v>
      </c>
      <c r="AS180" s="28" t="e">
        <f t="shared" ref="AS180:AS200" si="126">VLOOKUP(AK180,$I$8:$S$17,AN180+1,FALSE)</f>
        <v>#N/A</v>
      </c>
      <c r="AT180" s="28" t="e">
        <f t="shared" ref="AT180:AT200" si="127">VLOOKUP(AL180,$I$8:$S$17,AN180+1,FALSE)</f>
        <v>#N/A</v>
      </c>
      <c r="AV180" s="31" t="e">
        <f>IF(O180&gt;MAX($V$4:$AE$4),MAX($V$4:$AE$4)-0.1,IF(O180&lt;MIN($V$4:$AE162),MIN($V$4:$AE$4)+0.1,O180))</f>
        <v>#DIV/0!</v>
      </c>
      <c r="AW180" s="31">
        <f t="shared" ref="AW180:AW200" si="128">IF(P180&gt;MAX($V$5:$AE$5),MAX($V$5:$AE$5)-0.1,IF(P180&lt;MIN($V$5:$AE$5),MIN($V$5:$AE$5)+0.1,P180))</f>
        <v>0</v>
      </c>
      <c r="AX180" s="28" t="e">
        <f t="shared" ref="AX180:AX200" si="129">_xlfn.XLOOKUP(AZ180,$V$4:$AE$4,$V$6:$AE$6)</f>
        <v>#DIV/0!</v>
      </c>
      <c r="AY180" s="28" t="e">
        <f t="shared" ref="AY180:AY200" si="130">AX180+1</f>
        <v>#DIV/0!</v>
      </c>
      <c r="AZ180" s="28" t="e">
        <f t="shared" ref="AZ180:AZ200" si="131">HLOOKUP(ROUNDUP(AV180,1),$V$4:$AE$4,1,TRUE)</f>
        <v>#DIV/0!</v>
      </c>
      <c r="BA180" s="28" t="e">
        <f t="shared" ref="BA180:BA200" si="132">_xlfn.XLOOKUP(AY180,$V$6:$AE$6,$V$4:$AE$4)</f>
        <v>#DIV/0!</v>
      </c>
      <c r="BB180" s="28" t="e">
        <f t="shared" ref="BB180:BB200" si="133">_xlfn.XLOOKUP(BD180,$V$5:$AE$5,$V$6:$AE$6)</f>
        <v>#N/A</v>
      </c>
      <c r="BC180" s="28" t="e">
        <f t="shared" ref="BC180:BC200" si="134">BB180+1</f>
        <v>#N/A</v>
      </c>
      <c r="BD180" s="28" t="e">
        <f t="shared" ref="BD180:BD200" si="135">HLOOKUP(AW180,$V$5:$AE$5,1,TRUE)</f>
        <v>#N/A</v>
      </c>
      <c r="BE180" s="28" t="e">
        <f t="shared" ref="BE180:BE200" si="136">_xlfn.XLOOKUP(BC180,$V$6:$AE$6,$V$5:$AE$5)</f>
        <v>#N/A</v>
      </c>
      <c r="BF180" s="28" t="e">
        <f t="shared" ref="BF180:BF200" si="137">VLOOKUP(AZ180,$U$8:$AE$17,BB180+1,FALSE)</f>
        <v>#DIV/0!</v>
      </c>
      <c r="BG180" s="28" t="e">
        <f t="shared" ref="BG180:BG200" si="138">VLOOKUP(BA180,$U$8:$AE$17,BB180+1,FALSE)</f>
        <v>#DIV/0!</v>
      </c>
      <c r="BH180" s="28" t="e">
        <f t="shared" ref="BH180:BH200" si="139">VLOOKUP(AZ180,$U$8:$AE$17,BC180+1,FALSE)</f>
        <v>#DIV/0!</v>
      </c>
      <c r="BI180" s="28" t="e">
        <f t="shared" ref="BI180:BI200" si="140">VLOOKUP(BA180,$U$8:$AE$17,BC180+1,FALSE)</f>
        <v>#DIV/0!</v>
      </c>
    </row>
    <row r="181" spans="2:61" ht="75" customHeight="1" x14ac:dyDescent="0.25">
      <c r="B181" s="17"/>
      <c r="C181" s="17"/>
      <c r="D181" s="17"/>
      <c r="E181" s="17"/>
      <c r="F181" s="17"/>
      <c r="G181" s="17"/>
      <c r="H181" s="65"/>
      <c r="I181" s="17"/>
      <c r="J181" s="17"/>
      <c r="K181" s="17"/>
      <c r="L181" s="17"/>
      <c r="M181" s="17" t="e">
        <f t="shared" si="106"/>
        <v>#DIV/0!</v>
      </c>
      <c r="N181" s="17"/>
      <c r="O181" s="17"/>
      <c r="P181" s="17"/>
      <c r="Q181" s="17"/>
      <c r="R181" s="17"/>
      <c r="S181" s="17"/>
      <c r="U181" s="17">
        <f t="shared" si="107"/>
        <v>0</v>
      </c>
      <c r="V181" s="17" t="e">
        <f t="shared" si="108"/>
        <v>#DIV/0!</v>
      </c>
      <c r="W181" s="30" t="e">
        <f t="shared" si="109"/>
        <v>#DIV/0!</v>
      </c>
      <c r="X181" s="17" t="e">
        <f t="shared" si="110"/>
        <v>#N/A</v>
      </c>
      <c r="Y181" s="17" t="e">
        <f t="shared" si="111"/>
        <v>#DIV/0!</v>
      </c>
      <c r="Z181" s="17" t="e">
        <f t="shared" si="112"/>
        <v>#N/A</v>
      </c>
      <c r="AA181" s="43" t="e">
        <f t="shared" si="113"/>
        <v>#DIV/0!</v>
      </c>
      <c r="AG181" s="31">
        <f t="shared" si="114"/>
        <v>0</v>
      </c>
      <c r="AH181" s="31">
        <f t="shared" si="115"/>
        <v>0</v>
      </c>
      <c r="AI181" s="28" t="e">
        <f t="shared" si="116"/>
        <v>#N/A</v>
      </c>
      <c r="AJ181" s="28" t="e">
        <f t="shared" si="117"/>
        <v>#N/A</v>
      </c>
      <c r="AK181" s="28" t="e">
        <f t="shared" si="118"/>
        <v>#N/A</v>
      </c>
      <c r="AL181" s="28" t="e">
        <f t="shared" si="119"/>
        <v>#N/A</v>
      </c>
      <c r="AM181" s="28" t="e">
        <f t="shared" si="120"/>
        <v>#N/A</v>
      </c>
      <c r="AN181" s="28" t="e">
        <f t="shared" si="121"/>
        <v>#N/A</v>
      </c>
      <c r="AO181" s="28" t="e">
        <f t="shared" si="122"/>
        <v>#N/A</v>
      </c>
      <c r="AP181" s="28" t="e">
        <f t="shared" si="123"/>
        <v>#N/A</v>
      </c>
      <c r="AQ181" s="28" t="e">
        <f t="shared" si="124"/>
        <v>#N/A</v>
      </c>
      <c r="AR181" s="28" t="e">
        <f t="shared" si="125"/>
        <v>#N/A</v>
      </c>
      <c r="AS181" s="28" t="e">
        <f t="shared" si="126"/>
        <v>#N/A</v>
      </c>
      <c r="AT181" s="28" t="e">
        <f t="shared" si="127"/>
        <v>#N/A</v>
      </c>
      <c r="AV181" s="31" t="e">
        <f>IF(O181&gt;MAX($V$4:$AE$4),MAX($V$4:$AE$4)-0.1,IF(O181&lt;MIN($V$4:$AE163),MIN($V$4:$AE$4)+0.1,O181))</f>
        <v>#DIV/0!</v>
      </c>
      <c r="AW181" s="31">
        <f t="shared" si="128"/>
        <v>0</v>
      </c>
      <c r="AX181" s="28" t="e">
        <f t="shared" si="129"/>
        <v>#DIV/0!</v>
      </c>
      <c r="AY181" s="28" t="e">
        <f t="shared" si="130"/>
        <v>#DIV/0!</v>
      </c>
      <c r="AZ181" s="28" t="e">
        <f t="shared" si="131"/>
        <v>#DIV/0!</v>
      </c>
      <c r="BA181" s="28" t="e">
        <f t="shared" si="132"/>
        <v>#DIV/0!</v>
      </c>
      <c r="BB181" s="28" t="e">
        <f t="shared" si="133"/>
        <v>#N/A</v>
      </c>
      <c r="BC181" s="28" t="e">
        <f t="shared" si="134"/>
        <v>#N/A</v>
      </c>
      <c r="BD181" s="28" t="e">
        <f t="shared" si="135"/>
        <v>#N/A</v>
      </c>
      <c r="BE181" s="28" t="e">
        <f t="shared" si="136"/>
        <v>#N/A</v>
      </c>
      <c r="BF181" s="28" t="e">
        <f t="shared" si="137"/>
        <v>#DIV/0!</v>
      </c>
      <c r="BG181" s="28" t="e">
        <f t="shared" si="138"/>
        <v>#DIV/0!</v>
      </c>
      <c r="BH181" s="28" t="e">
        <f t="shared" si="139"/>
        <v>#DIV/0!</v>
      </c>
      <c r="BI181" s="28" t="e">
        <f t="shared" si="140"/>
        <v>#DIV/0!</v>
      </c>
    </row>
    <row r="182" spans="2:61" ht="75" customHeight="1" x14ac:dyDescent="0.25">
      <c r="B182" s="17"/>
      <c r="C182" s="17"/>
      <c r="D182" s="17"/>
      <c r="E182" s="17"/>
      <c r="F182" s="17"/>
      <c r="G182" s="17"/>
      <c r="H182" s="65"/>
      <c r="I182" s="17"/>
      <c r="J182" s="17"/>
      <c r="K182" s="17"/>
      <c r="L182" s="17"/>
      <c r="M182" s="17" t="e">
        <f t="shared" si="106"/>
        <v>#DIV/0!</v>
      </c>
      <c r="N182" s="17"/>
      <c r="O182" s="17"/>
      <c r="P182" s="17"/>
      <c r="Q182" s="17"/>
      <c r="R182" s="17"/>
      <c r="S182" s="17"/>
      <c r="U182" s="17">
        <f t="shared" si="107"/>
        <v>0</v>
      </c>
      <c r="V182" s="17" t="e">
        <f t="shared" si="108"/>
        <v>#DIV/0!</v>
      </c>
      <c r="W182" s="30" t="e">
        <f t="shared" si="109"/>
        <v>#DIV/0!</v>
      </c>
      <c r="X182" s="17" t="e">
        <f t="shared" si="110"/>
        <v>#N/A</v>
      </c>
      <c r="Y182" s="17" t="e">
        <f t="shared" si="111"/>
        <v>#DIV/0!</v>
      </c>
      <c r="Z182" s="17" t="e">
        <f t="shared" si="112"/>
        <v>#N/A</v>
      </c>
      <c r="AA182" s="43" t="e">
        <f t="shared" si="113"/>
        <v>#DIV/0!</v>
      </c>
      <c r="AG182" s="31">
        <f t="shared" si="114"/>
        <v>0</v>
      </c>
      <c r="AH182" s="31">
        <f t="shared" si="115"/>
        <v>0</v>
      </c>
      <c r="AI182" s="28" t="e">
        <f t="shared" si="116"/>
        <v>#N/A</v>
      </c>
      <c r="AJ182" s="28" t="e">
        <f t="shared" si="117"/>
        <v>#N/A</v>
      </c>
      <c r="AK182" s="28" t="e">
        <f t="shared" si="118"/>
        <v>#N/A</v>
      </c>
      <c r="AL182" s="28" t="e">
        <f t="shared" si="119"/>
        <v>#N/A</v>
      </c>
      <c r="AM182" s="28" t="e">
        <f t="shared" si="120"/>
        <v>#N/A</v>
      </c>
      <c r="AN182" s="28" t="e">
        <f t="shared" si="121"/>
        <v>#N/A</v>
      </c>
      <c r="AO182" s="28" t="e">
        <f t="shared" si="122"/>
        <v>#N/A</v>
      </c>
      <c r="AP182" s="28" t="e">
        <f t="shared" si="123"/>
        <v>#N/A</v>
      </c>
      <c r="AQ182" s="28" t="e">
        <f t="shared" si="124"/>
        <v>#N/A</v>
      </c>
      <c r="AR182" s="28" t="e">
        <f t="shared" si="125"/>
        <v>#N/A</v>
      </c>
      <c r="AS182" s="28" t="e">
        <f t="shared" si="126"/>
        <v>#N/A</v>
      </c>
      <c r="AT182" s="28" t="e">
        <f t="shared" si="127"/>
        <v>#N/A</v>
      </c>
      <c r="AV182" s="31" t="e">
        <f>IF(O182&gt;MAX($V$4:$AE$4),MAX($V$4:$AE$4)-0.1,IF(O182&lt;MIN($V$4:$AE164),MIN($V$4:$AE$4)+0.1,O182))</f>
        <v>#DIV/0!</v>
      </c>
      <c r="AW182" s="31">
        <f t="shared" si="128"/>
        <v>0</v>
      </c>
      <c r="AX182" s="28" t="e">
        <f t="shared" si="129"/>
        <v>#DIV/0!</v>
      </c>
      <c r="AY182" s="28" t="e">
        <f t="shared" si="130"/>
        <v>#DIV/0!</v>
      </c>
      <c r="AZ182" s="28" t="e">
        <f t="shared" si="131"/>
        <v>#DIV/0!</v>
      </c>
      <c r="BA182" s="28" t="e">
        <f t="shared" si="132"/>
        <v>#DIV/0!</v>
      </c>
      <c r="BB182" s="28" t="e">
        <f t="shared" si="133"/>
        <v>#N/A</v>
      </c>
      <c r="BC182" s="28" t="e">
        <f t="shared" si="134"/>
        <v>#N/A</v>
      </c>
      <c r="BD182" s="28" t="e">
        <f t="shared" si="135"/>
        <v>#N/A</v>
      </c>
      <c r="BE182" s="28" t="e">
        <f t="shared" si="136"/>
        <v>#N/A</v>
      </c>
      <c r="BF182" s="28" t="e">
        <f t="shared" si="137"/>
        <v>#DIV/0!</v>
      </c>
      <c r="BG182" s="28" t="e">
        <f t="shared" si="138"/>
        <v>#DIV/0!</v>
      </c>
      <c r="BH182" s="28" t="e">
        <f t="shared" si="139"/>
        <v>#DIV/0!</v>
      </c>
      <c r="BI182" s="28" t="e">
        <f t="shared" si="140"/>
        <v>#DIV/0!</v>
      </c>
    </row>
    <row r="183" spans="2:61" ht="75" customHeight="1" x14ac:dyDescent="0.25">
      <c r="B183" s="17"/>
      <c r="C183" s="17"/>
      <c r="D183" s="17"/>
      <c r="E183" s="17"/>
      <c r="F183" s="17"/>
      <c r="G183" s="17"/>
      <c r="H183" s="65"/>
      <c r="I183" s="17"/>
      <c r="J183" s="17"/>
      <c r="K183" s="17"/>
      <c r="L183" s="17"/>
      <c r="M183" s="17" t="e">
        <f t="shared" si="106"/>
        <v>#DIV/0!</v>
      </c>
      <c r="N183" s="17"/>
      <c r="O183" s="17"/>
      <c r="P183" s="17"/>
      <c r="Q183" s="17"/>
      <c r="R183" s="17"/>
      <c r="S183" s="17"/>
      <c r="U183" s="17">
        <f t="shared" si="107"/>
        <v>0</v>
      </c>
      <c r="V183" s="17" t="e">
        <f t="shared" si="108"/>
        <v>#DIV/0!</v>
      </c>
      <c r="W183" s="30" t="e">
        <f t="shared" si="109"/>
        <v>#DIV/0!</v>
      </c>
      <c r="X183" s="17" t="e">
        <f t="shared" si="110"/>
        <v>#N/A</v>
      </c>
      <c r="Y183" s="17" t="e">
        <f t="shared" si="111"/>
        <v>#DIV/0!</v>
      </c>
      <c r="Z183" s="17" t="e">
        <f t="shared" si="112"/>
        <v>#N/A</v>
      </c>
      <c r="AA183" s="43" t="e">
        <f t="shared" si="113"/>
        <v>#DIV/0!</v>
      </c>
      <c r="AG183" s="31">
        <f t="shared" si="114"/>
        <v>0</v>
      </c>
      <c r="AH183" s="31">
        <f t="shared" si="115"/>
        <v>0</v>
      </c>
      <c r="AI183" s="28" t="e">
        <f t="shared" si="116"/>
        <v>#N/A</v>
      </c>
      <c r="AJ183" s="28" t="e">
        <f t="shared" si="117"/>
        <v>#N/A</v>
      </c>
      <c r="AK183" s="28" t="e">
        <f t="shared" si="118"/>
        <v>#N/A</v>
      </c>
      <c r="AL183" s="28" t="e">
        <f t="shared" si="119"/>
        <v>#N/A</v>
      </c>
      <c r="AM183" s="28" t="e">
        <f t="shared" si="120"/>
        <v>#N/A</v>
      </c>
      <c r="AN183" s="28" t="e">
        <f t="shared" si="121"/>
        <v>#N/A</v>
      </c>
      <c r="AO183" s="28" t="e">
        <f t="shared" si="122"/>
        <v>#N/A</v>
      </c>
      <c r="AP183" s="28" t="e">
        <f t="shared" si="123"/>
        <v>#N/A</v>
      </c>
      <c r="AQ183" s="28" t="e">
        <f t="shared" si="124"/>
        <v>#N/A</v>
      </c>
      <c r="AR183" s="28" t="e">
        <f t="shared" si="125"/>
        <v>#N/A</v>
      </c>
      <c r="AS183" s="28" t="e">
        <f t="shared" si="126"/>
        <v>#N/A</v>
      </c>
      <c r="AT183" s="28" t="e">
        <f t="shared" si="127"/>
        <v>#N/A</v>
      </c>
      <c r="AV183" s="31" t="e">
        <f>IF(O183&gt;MAX($V$4:$AE$4),MAX($V$4:$AE$4)-0.1,IF(O183&lt;MIN($V$4:$AE165),MIN($V$4:$AE$4)+0.1,O183))</f>
        <v>#DIV/0!</v>
      </c>
      <c r="AW183" s="31">
        <f t="shared" si="128"/>
        <v>0</v>
      </c>
      <c r="AX183" s="28" t="e">
        <f t="shared" si="129"/>
        <v>#DIV/0!</v>
      </c>
      <c r="AY183" s="28" t="e">
        <f t="shared" si="130"/>
        <v>#DIV/0!</v>
      </c>
      <c r="AZ183" s="28" t="e">
        <f t="shared" si="131"/>
        <v>#DIV/0!</v>
      </c>
      <c r="BA183" s="28" t="e">
        <f t="shared" si="132"/>
        <v>#DIV/0!</v>
      </c>
      <c r="BB183" s="28" t="e">
        <f t="shared" si="133"/>
        <v>#N/A</v>
      </c>
      <c r="BC183" s="28" t="e">
        <f t="shared" si="134"/>
        <v>#N/A</v>
      </c>
      <c r="BD183" s="28" t="e">
        <f t="shared" si="135"/>
        <v>#N/A</v>
      </c>
      <c r="BE183" s="28" t="e">
        <f t="shared" si="136"/>
        <v>#N/A</v>
      </c>
      <c r="BF183" s="28" t="e">
        <f t="shared" si="137"/>
        <v>#DIV/0!</v>
      </c>
      <c r="BG183" s="28" t="e">
        <f t="shared" si="138"/>
        <v>#DIV/0!</v>
      </c>
      <c r="BH183" s="28" t="e">
        <f t="shared" si="139"/>
        <v>#DIV/0!</v>
      </c>
      <c r="BI183" s="28" t="e">
        <f t="shared" si="140"/>
        <v>#DIV/0!</v>
      </c>
    </row>
    <row r="184" spans="2:61" ht="75" customHeight="1" x14ac:dyDescent="0.25">
      <c r="B184" s="17"/>
      <c r="C184" s="17"/>
      <c r="D184" s="17"/>
      <c r="E184" s="17"/>
      <c r="F184" s="17"/>
      <c r="G184" s="17"/>
      <c r="H184" s="65"/>
      <c r="I184" s="17"/>
      <c r="J184" s="17"/>
      <c r="K184" s="17"/>
      <c r="L184" s="17"/>
      <c r="M184" s="17" t="e">
        <f t="shared" si="106"/>
        <v>#DIV/0!</v>
      </c>
      <c r="N184" s="17"/>
      <c r="O184" s="17"/>
      <c r="P184" s="17"/>
      <c r="Q184" s="17"/>
      <c r="R184" s="17"/>
      <c r="S184" s="17"/>
      <c r="U184" s="17">
        <f t="shared" si="107"/>
        <v>0</v>
      </c>
      <c r="V184" s="17" t="e">
        <f t="shared" si="108"/>
        <v>#DIV/0!</v>
      </c>
      <c r="W184" s="30" t="e">
        <f t="shared" si="109"/>
        <v>#DIV/0!</v>
      </c>
      <c r="X184" s="17" t="e">
        <f t="shared" si="110"/>
        <v>#N/A</v>
      </c>
      <c r="Y184" s="17" t="e">
        <f t="shared" si="111"/>
        <v>#DIV/0!</v>
      </c>
      <c r="Z184" s="17" t="e">
        <f t="shared" si="112"/>
        <v>#N/A</v>
      </c>
      <c r="AA184" s="43" t="e">
        <f t="shared" si="113"/>
        <v>#DIV/0!</v>
      </c>
      <c r="AG184" s="31">
        <f t="shared" si="114"/>
        <v>0</v>
      </c>
      <c r="AH184" s="31">
        <f t="shared" si="115"/>
        <v>0</v>
      </c>
      <c r="AI184" s="28" t="e">
        <f t="shared" si="116"/>
        <v>#N/A</v>
      </c>
      <c r="AJ184" s="28" t="e">
        <f t="shared" si="117"/>
        <v>#N/A</v>
      </c>
      <c r="AK184" s="28" t="e">
        <f t="shared" si="118"/>
        <v>#N/A</v>
      </c>
      <c r="AL184" s="28" t="e">
        <f t="shared" si="119"/>
        <v>#N/A</v>
      </c>
      <c r="AM184" s="28" t="e">
        <f t="shared" si="120"/>
        <v>#N/A</v>
      </c>
      <c r="AN184" s="28" t="e">
        <f t="shared" si="121"/>
        <v>#N/A</v>
      </c>
      <c r="AO184" s="28" t="e">
        <f t="shared" si="122"/>
        <v>#N/A</v>
      </c>
      <c r="AP184" s="28" t="e">
        <f t="shared" si="123"/>
        <v>#N/A</v>
      </c>
      <c r="AQ184" s="28" t="e">
        <f t="shared" si="124"/>
        <v>#N/A</v>
      </c>
      <c r="AR184" s="28" t="e">
        <f t="shared" si="125"/>
        <v>#N/A</v>
      </c>
      <c r="AS184" s="28" t="e">
        <f t="shared" si="126"/>
        <v>#N/A</v>
      </c>
      <c r="AT184" s="28" t="e">
        <f t="shared" si="127"/>
        <v>#N/A</v>
      </c>
      <c r="AV184" s="31" t="e">
        <f>IF(O184&gt;MAX($V$4:$AE$4),MAX($V$4:$AE$4)-0.1,IF(O184&lt;MIN($V$4:$AE166),MIN($V$4:$AE$4)+0.1,O184))</f>
        <v>#DIV/0!</v>
      </c>
      <c r="AW184" s="31">
        <f t="shared" si="128"/>
        <v>0</v>
      </c>
      <c r="AX184" s="28" t="e">
        <f t="shared" si="129"/>
        <v>#DIV/0!</v>
      </c>
      <c r="AY184" s="28" t="e">
        <f t="shared" si="130"/>
        <v>#DIV/0!</v>
      </c>
      <c r="AZ184" s="28" t="e">
        <f t="shared" si="131"/>
        <v>#DIV/0!</v>
      </c>
      <c r="BA184" s="28" t="e">
        <f t="shared" si="132"/>
        <v>#DIV/0!</v>
      </c>
      <c r="BB184" s="28" t="e">
        <f t="shared" si="133"/>
        <v>#N/A</v>
      </c>
      <c r="BC184" s="28" t="e">
        <f t="shared" si="134"/>
        <v>#N/A</v>
      </c>
      <c r="BD184" s="28" t="e">
        <f t="shared" si="135"/>
        <v>#N/A</v>
      </c>
      <c r="BE184" s="28" t="e">
        <f t="shared" si="136"/>
        <v>#N/A</v>
      </c>
      <c r="BF184" s="28" t="e">
        <f t="shared" si="137"/>
        <v>#DIV/0!</v>
      </c>
      <c r="BG184" s="28" t="e">
        <f t="shared" si="138"/>
        <v>#DIV/0!</v>
      </c>
      <c r="BH184" s="28" t="e">
        <f t="shared" si="139"/>
        <v>#DIV/0!</v>
      </c>
      <c r="BI184" s="28" t="e">
        <f t="shared" si="140"/>
        <v>#DIV/0!</v>
      </c>
    </row>
    <row r="185" spans="2:61" ht="75" customHeight="1" x14ac:dyDescent="0.25">
      <c r="B185" s="17"/>
      <c r="C185" s="17"/>
      <c r="D185" s="17"/>
      <c r="E185" s="17"/>
      <c r="F185" s="17"/>
      <c r="G185" s="17"/>
      <c r="H185" s="65"/>
      <c r="I185" s="17"/>
      <c r="J185" s="17"/>
      <c r="K185" s="17"/>
      <c r="L185" s="17"/>
      <c r="M185" s="17" t="e">
        <f t="shared" si="106"/>
        <v>#DIV/0!</v>
      </c>
      <c r="N185" s="17"/>
      <c r="O185" s="17"/>
      <c r="P185" s="17"/>
      <c r="Q185" s="17"/>
      <c r="R185" s="17"/>
      <c r="S185" s="17"/>
      <c r="U185" s="17">
        <f t="shared" si="107"/>
        <v>0</v>
      </c>
      <c r="V185" s="17" t="e">
        <f t="shared" si="108"/>
        <v>#DIV/0!</v>
      </c>
      <c r="W185" s="30" t="e">
        <f t="shared" si="109"/>
        <v>#DIV/0!</v>
      </c>
      <c r="X185" s="17" t="e">
        <f t="shared" si="110"/>
        <v>#N/A</v>
      </c>
      <c r="Y185" s="17" t="e">
        <f t="shared" si="111"/>
        <v>#DIV/0!</v>
      </c>
      <c r="Z185" s="17" t="e">
        <f t="shared" si="112"/>
        <v>#N/A</v>
      </c>
      <c r="AA185" s="43" t="e">
        <f t="shared" si="113"/>
        <v>#DIV/0!</v>
      </c>
      <c r="AG185" s="31">
        <f t="shared" si="114"/>
        <v>0</v>
      </c>
      <c r="AH185" s="31">
        <f t="shared" si="115"/>
        <v>0</v>
      </c>
      <c r="AI185" s="28" t="e">
        <f t="shared" si="116"/>
        <v>#N/A</v>
      </c>
      <c r="AJ185" s="28" t="e">
        <f t="shared" si="117"/>
        <v>#N/A</v>
      </c>
      <c r="AK185" s="28" t="e">
        <f t="shared" si="118"/>
        <v>#N/A</v>
      </c>
      <c r="AL185" s="28" t="e">
        <f t="shared" si="119"/>
        <v>#N/A</v>
      </c>
      <c r="AM185" s="28" t="e">
        <f t="shared" si="120"/>
        <v>#N/A</v>
      </c>
      <c r="AN185" s="28" t="e">
        <f t="shared" si="121"/>
        <v>#N/A</v>
      </c>
      <c r="AO185" s="28" t="e">
        <f t="shared" si="122"/>
        <v>#N/A</v>
      </c>
      <c r="AP185" s="28" t="e">
        <f t="shared" si="123"/>
        <v>#N/A</v>
      </c>
      <c r="AQ185" s="28" t="e">
        <f t="shared" si="124"/>
        <v>#N/A</v>
      </c>
      <c r="AR185" s="28" t="e">
        <f t="shared" si="125"/>
        <v>#N/A</v>
      </c>
      <c r="AS185" s="28" t="e">
        <f t="shared" si="126"/>
        <v>#N/A</v>
      </c>
      <c r="AT185" s="28" t="e">
        <f t="shared" si="127"/>
        <v>#N/A</v>
      </c>
      <c r="AV185" s="31" t="e">
        <f>IF(O185&gt;MAX($V$4:$AE$4),MAX($V$4:$AE$4)-0.1,IF(O185&lt;MIN($V$4:$AE167),MIN($V$4:$AE$4)+0.1,O185))</f>
        <v>#DIV/0!</v>
      </c>
      <c r="AW185" s="31">
        <f t="shared" si="128"/>
        <v>0</v>
      </c>
      <c r="AX185" s="28" t="e">
        <f t="shared" si="129"/>
        <v>#DIV/0!</v>
      </c>
      <c r="AY185" s="28" t="e">
        <f t="shared" si="130"/>
        <v>#DIV/0!</v>
      </c>
      <c r="AZ185" s="28" t="e">
        <f t="shared" si="131"/>
        <v>#DIV/0!</v>
      </c>
      <c r="BA185" s="28" t="e">
        <f t="shared" si="132"/>
        <v>#DIV/0!</v>
      </c>
      <c r="BB185" s="28" t="e">
        <f t="shared" si="133"/>
        <v>#N/A</v>
      </c>
      <c r="BC185" s="28" t="e">
        <f t="shared" si="134"/>
        <v>#N/A</v>
      </c>
      <c r="BD185" s="28" t="e">
        <f t="shared" si="135"/>
        <v>#N/A</v>
      </c>
      <c r="BE185" s="28" t="e">
        <f t="shared" si="136"/>
        <v>#N/A</v>
      </c>
      <c r="BF185" s="28" t="e">
        <f t="shared" si="137"/>
        <v>#DIV/0!</v>
      </c>
      <c r="BG185" s="28" t="e">
        <f t="shared" si="138"/>
        <v>#DIV/0!</v>
      </c>
      <c r="BH185" s="28" t="e">
        <f t="shared" si="139"/>
        <v>#DIV/0!</v>
      </c>
      <c r="BI185" s="28" t="e">
        <f t="shared" si="140"/>
        <v>#DIV/0!</v>
      </c>
    </row>
    <row r="186" spans="2:61" ht="75" customHeight="1" x14ac:dyDescent="0.25">
      <c r="B186" s="17"/>
      <c r="C186" s="17"/>
      <c r="D186" s="17"/>
      <c r="E186" s="17"/>
      <c r="F186" s="17"/>
      <c r="G186" s="17"/>
      <c r="H186" s="65"/>
      <c r="I186" s="17"/>
      <c r="J186" s="17"/>
      <c r="K186" s="17"/>
      <c r="L186" s="17"/>
      <c r="M186" s="17" t="e">
        <f t="shared" si="106"/>
        <v>#DIV/0!</v>
      </c>
      <c r="N186" s="17"/>
      <c r="O186" s="17"/>
      <c r="P186" s="17"/>
      <c r="Q186" s="17"/>
      <c r="R186" s="17"/>
      <c r="S186" s="17"/>
      <c r="U186" s="17">
        <f t="shared" si="107"/>
        <v>0</v>
      </c>
      <c r="V186" s="17" t="e">
        <f t="shared" si="108"/>
        <v>#DIV/0!</v>
      </c>
      <c r="W186" s="30" t="e">
        <f t="shared" si="109"/>
        <v>#DIV/0!</v>
      </c>
      <c r="X186" s="17" t="e">
        <f t="shared" si="110"/>
        <v>#N/A</v>
      </c>
      <c r="Y186" s="17" t="e">
        <f t="shared" si="111"/>
        <v>#DIV/0!</v>
      </c>
      <c r="Z186" s="17" t="e">
        <f t="shared" si="112"/>
        <v>#N/A</v>
      </c>
      <c r="AA186" s="43" t="e">
        <f t="shared" si="113"/>
        <v>#DIV/0!</v>
      </c>
      <c r="AG186" s="31">
        <f t="shared" si="114"/>
        <v>0</v>
      </c>
      <c r="AH186" s="31">
        <f t="shared" si="115"/>
        <v>0</v>
      </c>
      <c r="AI186" s="28" t="e">
        <f t="shared" si="116"/>
        <v>#N/A</v>
      </c>
      <c r="AJ186" s="28" t="e">
        <f t="shared" si="117"/>
        <v>#N/A</v>
      </c>
      <c r="AK186" s="28" t="e">
        <f t="shared" si="118"/>
        <v>#N/A</v>
      </c>
      <c r="AL186" s="28" t="e">
        <f t="shared" si="119"/>
        <v>#N/A</v>
      </c>
      <c r="AM186" s="28" t="e">
        <f t="shared" si="120"/>
        <v>#N/A</v>
      </c>
      <c r="AN186" s="28" t="e">
        <f t="shared" si="121"/>
        <v>#N/A</v>
      </c>
      <c r="AO186" s="28" t="e">
        <f t="shared" si="122"/>
        <v>#N/A</v>
      </c>
      <c r="AP186" s="28" t="e">
        <f t="shared" si="123"/>
        <v>#N/A</v>
      </c>
      <c r="AQ186" s="28" t="e">
        <f t="shared" si="124"/>
        <v>#N/A</v>
      </c>
      <c r="AR186" s="28" t="e">
        <f t="shared" si="125"/>
        <v>#N/A</v>
      </c>
      <c r="AS186" s="28" t="e">
        <f t="shared" si="126"/>
        <v>#N/A</v>
      </c>
      <c r="AT186" s="28" t="e">
        <f t="shared" si="127"/>
        <v>#N/A</v>
      </c>
      <c r="AV186" s="31" t="e">
        <f>IF(O186&gt;MAX($V$4:$AE$4),MAX($V$4:$AE$4)-0.1,IF(O186&lt;MIN($V$4:$AE168),MIN($V$4:$AE$4)+0.1,O186))</f>
        <v>#DIV/0!</v>
      </c>
      <c r="AW186" s="31">
        <f t="shared" si="128"/>
        <v>0</v>
      </c>
      <c r="AX186" s="28" t="e">
        <f t="shared" si="129"/>
        <v>#DIV/0!</v>
      </c>
      <c r="AY186" s="28" t="e">
        <f t="shared" si="130"/>
        <v>#DIV/0!</v>
      </c>
      <c r="AZ186" s="28" t="e">
        <f t="shared" si="131"/>
        <v>#DIV/0!</v>
      </c>
      <c r="BA186" s="28" t="e">
        <f t="shared" si="132"/>
        <v>#DIV/0!</v>
      </c>
      <c r="BB186" s="28" t="e">
        <f t="shared" si="133"/>
        <v>#N/A</v>
      </c>
      <c r="BC186" s="28" t="e">
        <f t="shared" si="134"/>
        <v>#N/A</v>
      </c>
      <c r="BD186" s="28" t="e">
        <f t="shared" si="135"/>
        <v>#N/A</v>
      </c>
      <c r="BE186" s="28" t="e">
        <f t="shared" si="136"/>
        <v>#N/A</v>
      </c>
      <c r="BF186" s="28" t="e">
        <f t="shared" si="137"/>
        <v>#DIV/0!</v>
      </c>
      <c r="BG186" s="28" t="e">
        <f t="shared" si="138"/>
        <v>#DIV/0!</v>
      </c>
      <c r="BH186" s="28" t="e">
        <f t="shared" si="139"/>
        <v>#DIV/0!</v>
      </c>
      <c r="BI186" s="28" t="e">
        <f t="shared" si="140"/>
        <v>#DIV/0!</v>
      </c>
    </row>
    <row r="187" spans="2:61" ht="75" customHeight="1" x14ac:dyDescent="0.25">
      <c r="B187" s="17"/>
      <c r="C187" s="17"/>
      <c r="D187" s="17"/>
      <c r="E187" s="17"/>
      <c r="F187" s="17"/>
      <c r="G187" s="17"/>
      <c r="H187" s="65"/>
      <c r="I187" s="17"/>
      <c r="J187" s="17"/>
      <c r="K187" s="17"/>
      <c r="L187" s="17"/>
      <c r="M187" s="17" t="e">
        <f t="shared" si="106"/>
        <v>#DIV/0!</v>
      </c>
      <c r="N187" s="17"/>
      <c r="O187" s="17"/>
      <c r="P187" s="17"/>
      <c r="Q187" s="17"/>
      <c r="R187" s="17"/>
      <c r="S187" s="17"/>
      <c r="U187" s="17">
        <f t="shared" si="107"/>
        <v>0</v>
      </c>
      <c r="V187" s="17" t="e">
        <f t="shared" si="108"/>
        <v>#DIV/0!</v>
      </c>
      <c r="W187" s="30" t="e">
        <f t="shared" si="109"/>
        <v>#DIV/0!</v>
      </c>
      <c r="X187" s="17" t="e">
        <f t="shared" si="110"/>
        <v>#N/A</v>
      </c>
      <c r="Y187" s="17" t="e">
        <f t="shared" si="111"/>
        <v>#DIV/0!</v>
      </c>
      <c r="Z187" s="17" t="e">
        <f t="shared" si="112"/>
        <v>#N/A</v>
      </c>
      <c r="AA187" s="43" t="e">
        <f t="shared" si="113"/>
        <v>#DIV/0!</v>
      </c>
      <c r="AG187" s="31">
        <f t="shared" si="114"/>
        <v>0</v>
      </c>
      <c r="AH187" s="31">
        <f t="shared" si="115"/>
        <v>0</v>
      </c>
      <c r="AI187" s="28" t="e">
        <f t="shared" si="116"/>
        <v>#N/A</v>
      </c>
      <c r="AJ187" s="28" t="e">
        <f t="shared" si="117"/>
        <v>#N/A</v>
      </c>
      <c r="AK187" s="28" t="e">
        <f t="shared" si="118"/>
        <v>#N/A</v>
      </c>
      <c r="AL187" s="28" t="e">
        <f t="shared" si="119"/>
        <v>#N/A</v>
      </c>
      <c r="AM187" s="28" t="e">
        <f t="shared" si="120"/>
        <v>#N/A</v>
      </c>
      <c r="AN187" s="28" t="e">
        <f t="shared" si="121"/>
        <v>#N/A</v>
      </c>
      <c r="AO187" s="28" t="e">
        <f t="shared" si="122"/>
        <v>#N/A</v>
      </c>
      <c r="AP187" s="28" t="e">
        <f t="shared" si="123"/>
        <v>#N/A</v>
      </c>
      <c r="AQ187" s="28" t="e">
        <f t="shared" si="124"/>
        <v>#N/A</v>
      </c>
      <c r="AR187" s="28" t="e">
        <f t="shared" si="125"/>
        <v>#N/A</v>
      </c>
      <c r="AS187" s="28" t="e">
        <f t="shared" si="126"/>
        <v>#N/A</v>
      </c>
      <c r="AT187" s="28" t="e">
        <f t="shared" si="127"/>
        <v>#N/A</v>
      </c>
      <c r="AV187" s="31" t="e">
        <f>IF(O187&gt;MAX($V$4:$AE$4),MAX($V$4:$AE$4)-0.1,IF(O187&lt;MIN($V$4:$AE169),MIN($V$4:$AE$4)+0.1,O187))</f>
        <v>#DIV/0!</v>
      </c>
      <c r="AW187" s="31">
        <f t="shared" si="128"/>
        <v>0</v>
      </c>
      <c r="AX187" s="28" t="e">
        <f t="shared" si="129"/>
        <v>#DIV/0!</v>
      </c>
      <c r="AY187" s="28" t="e">
        <f t="shared" si="130"/>
        <v>#DIV/0!</v>
      </c>
      <c r="AZ187" s="28" t="e">
        <f t="shared" si="131"/>
        <v>#DIV/0!</v>
      </c>
      <c r="BA187" s="28" t="e">
        <f t="shared" si="132"/>
        <v>#DIV/0!</v>
      </c>
      <c r="BB187" s="28" t="e">
        <f t="shared" si="133"/>
        <v>#N/A</v>
      </c>
      <c r="BC187" s="28" t="e">
        <f t="shared" si="134"/>
        <v>#N/A</v>
      </c>
      <c r="BD187" s="28" t="e">
        <f t="shared" si="135"/>
        <v>#N/A</v>
      </c>
      <c r="BE187" s="28" t="e">
        <f t="shared" si="136"/>
        <v>#N/A</v>
      </c>
      <c r="BF187" s="28" t="e">
        <f t="shared" si="137"/>
        <v>#DIV/0!</v>
      </c>
      <c r="BG187" s="28" t="e">
        <f t="shared" si="138"/>
        <v>#DIV/0!</v>
      </c>
      <c r="BH187" s="28" t="e">
        <f t="shared" si="139"/>
        <v>#DIV/0!</v>
      </c>
      <c r="BI187" s="28" t="e">
        <f t="shared" si="140"/>
        <v>#DIV/0!</v>
      </c>
    </row>
    <row r="188" spans="2:61" ht="75" customHeight="1" x14ac:dyDescent="0.25">
      <c r="B188" s="17"/>
      <c r="C188" s="17"/>
      <c r="D188" s="17"/>
      <c r="E188" s="17"/>
      <c r="F188" s="17"/>
      <c r="G188" s="17"/>
      <c r="H188" s="65"/>
      <c r="I188" s="17"/>
      <c r="J188" s="17"/>
      <c r="K188" s="17"/>
      <c r="L188" s="17"/>
      <c r="M188" s="17" t="e">
        <f t="shared" si="106"/>
        <v>#DIV/0!</v>
      </c>
      <c r="N188" s="17"/>
      <c r="O188" s="17"/>
      <c r="P188" s="17"/>
      <c r="Q188" s="17"/>
      <c r="R188" s="17"/>
      <c r="S188" s="17"/>
      <c r="U188" s="17">
        <f t="shared" si="107"/>
        <v>0</v>
      </c>
      <c r="V188" s="17" t="e">
        <f t="shared" si="108"/>
        <v>#DIV/0!</v>
      </c>
      <c r="W188" s="30" t="e">
        <f t="shared" si="109"/>
        <v>#DIV/0!</v>
      </c>
      <c r="X188" s="17" t="e">
        <f t="shared" si="110"/>
        <v>#N/A</v>
      </c>
      <c r="Y188" s="17" t="e">
        <f t="shared" si="111"/>
        <v>#DIV/0!</v>
      </c>
      <c r="Z188" s="17" t="e">
        <f t="shared" si="112"/>
        <v>#N/A</v>
      </c>
      <c r="AA188" s="43" t="e">
        <f t="shared" si="113"/>
        <v>#DIV/0!</v>
      </c>
      <c r="AG188" s="31">
        <f t="shared" si="114"/>
        <v>0</v>
      </c>
      <c r="AH188" s="31">
        <f t="shared" si="115"/>
        <v>0</v>
      </c>
      <c r="AI188" s="28" t="e">
        <f t="shared" si="116"/>
        <v>#N/A</v>
      </c>
      <c r="AJ188" s="28" t="e">
        <f t="shared" si="117"/>
        <v>#N/A</v>
      </c>
      <c r="AK188" s="28" t="e">
        <f t="shared" si="118"/>
        <v>#N/A</v>
      </c>
      <c r="AL188" s="28" t="e">
        <f t="shared" si="119"/>
        <v>#N/A</v>
      </c>
      <c r="AM188" s="28" t="e">
        <f t="shared" si="120"/>
        <v>#N/A</v>
      </c>
      <c r="AN188" s="28" t="e">
        <f t="shared" si="121"/>
        <v>#N/A</v>
      </c>
      <c r="AO188" s="28" t="e">
        <f t="shared" si="122"/>
        <v>#N/A</v>
      </c>
      <c r="AP188" s="28" t="e">
        <f t="shared" si="123"/>
        <v>#N/A</v>
      </c>
      <c r="AQ188" s="28" t="e">
        <f t="shared" si="124"/>
        <v>#N/A</v>
      </c>
      <c r="AR188" s="28" t="e">
        <f t="shared" si="125"/>
        <v>#N/A</v>
      </c>
      <c r="AS188" s="28" t="e">
        <f t="shared" si="126"/>
        <v>#N/A</v>
      </c>
      <c r="AT188" s="28" t="e">
        <f t="shared" si="127"/>
        <v>#N/A</v>
      </c>
      <c r="AV188" s="31" t="e">
        <f>IF(O188&gt;MAX($V$4:$AE$4),MAX($V$4:$AE$4)-0.1,IF(O188&lt;MIN($V$4:$AE170),MIN($V$4:$AE$4)+0.1,O188))</f>
        <v>#DIV/0!</v>
      </c>
      <c r="AW188" s="31">
        <f t="shared" si="128"/>
        <v>0</v>
      </c>
      <c r="AX188" s="28" t="e">
        <f t="shared" si="129"/>
        <v>#DIV/0!</v>
      </c>
      <c r="AY188" s="28" t="e">
        <f t="shared" si="130"/>
        <v>#DIV/0!</v>
      </c>
      <c r="AZ188" s="28" t="e">
        <f t="shared" si="131"/>
        <v>#DIV/0!</v>
      </c>
      <c r="BA188" s="28" t="e">
        <f t="shared" si="132"/>
        <v>#DIV/0!</v>
      </c>
      <c r="BB188" s="28" t="e">
        <f t="shared" si="133"/>
        <v>#N/A</v>
      </c>
      <c r="BC188" s="28" t="e">
        <f t="shared" si="134"/>
        <v>#N/A</v>
      </c>
      <c r="BD188" s="28" t="e">
        <f t="shared" si="135"/>
        <v>#N/A</v>
      </c>
      <c r="BE188" s="28" t="e">
        <f t="shared" si="136"/>
        <v>#N/A</v>
      </c>
      <c r="BF188" s="28" t="e">
        <f t="shared" si="137"/>
        <v>#DIV/0!</v>
      </c>
      <c r="BG188" s="28" t="e">
        <f t="shared" si="138"/>
        <v>#DIV/0!</v>
      </c>
      <c r="BH188" s="28" t="e">
        <f t="shared" si="139"/>
        <v>#DIV/0!</v>
      </c>
      <c r="BI188" s="28" t="e">
        <f t="shared" si="140"/>
        <v>#DIV/0!</v>
      </c>
    </row>
    <row r="189" spans="2:61" ht="75" customHeight="1" x14ac:dyDescent="0.25">
      <c r="B189" s="17"/>
      <c r="C189" s="17"/>
      <c r="D189" s="17"/>
      <c r="E189" s="17"/>
      <c r="F189" s="17"/>
      <c r="G189" s="17"/>
      <c r="H189" s="65"/>
      <c r="I189" s="17"/>
      <c r="J189" s="17"/>
      <c r="K189" s="17"/>
      <c r="L189" s="17"/>
      <c r="M189" s="17" t="e">
        <f t="shared" si="106"/>
        <v>#DIV/0!</v>
      </c>
      <c r="N189" s="17"/>
      <c r="O189" s="17"/>
      <c r="P189" s="17"/>
      <c r="Q189" s="17"/>
      <c r="R189" s="17"/>
      <c r="S189" s="17"/>
      <c r="U189" s="17">
        <f t="shared" si="107"/>
        <v>0</v>
      </c>
      <c r="V189" s="17" t="e">
        <f t="shared" si="108"/>
        <v>#DIV/0!</v>
      </c>
      <c r="W189" s="30" t="e">
        <f t="shared" si="109"/>
        <v>#DIV/0!</v>
      </c>
      <c r="X189" s="17" t="e">
        <f t="shared" si="110"/>
        <v>#N/A</v>
      </c>
      <c r="Y189" s="17" t="e">
        <f t="shared" si="111"/>
        <v>#DIV/0!</v>
      </c>
      <c r="Z189" s="17" t="e">
        <f t="shared" si="112"/>
        <v>#N/A</v>
      </c>
      <c r="AA189" s="43" t="e">
        <f t="shared" si="113"/>
        <v>#DIV/0!</v>
      </c>
      <c r="AG189" s="31">
        <f t="shared" si="114"/>
        <v>0</v>
      </c>
      <c r="AH189" s="31">
        <f t="shared" si="115"/>
        <v>0</v>
      </c>
      <c r="AI189" s="28" t="e">
        <f t="shared" si="116"/>
        <v>#N/A</v>
      </c>
      <c r="AJ189" s="28" t="e">
        <f t="shared" si="117"/>
        <v>#N/A</v>
      </c>
      <c r="AK189" s="28" t="e">
        <f t="shared" si="118"/>
        <v>#N/A</v>
      </c>
      <c r="AL189" s="28" t="e">
        <f t="shared" si="119"/>
        <v>#N/A</v>
      </c>
      <c r="AM189" s="28" t="e">
        <f t="shared" si="120"/>
        <v>#N/A</v>
      </c>
      <c r="AN189" s="28" t="e">
        <f t="shared" si="121"/>
        <v>#N/A</v>
      </c>
      <c r="AO189" s="28" t="e">
        <f t="shared" si="122"/>
        <v>#N/A</v>
      </c>
      <c r="AP189" s="28" t="e">
        <f t="shared" si="123"/>
        <v>#N/A</v>
      </c>
      <c r="AQ189" s="28" t="e">
        <f t="shared" si="124"/>
        <v>#N/A</v>
      </c>
      <c r="AR189" s="28" t="e">
        <f t="shared" si="125"/>
        <v>#N/A</v>
      </c>
      <c r="AS189" s="28" t="e">
        <f t="shared" si="126"/>
        <v>#N/A</v>
      </c>
      <c r="AT189" s="28" t="e">
        <f t="shared" si="127"/>
        <v>#N/A</v>
      </c>
      <c r="AV189" s="31" t="e">
        <f>IF(O189&gt;MAX($V$4:$AE$4),MAX($V$4:$AE$4)-0.1,IF(O189&lt;MIN($V$4:$AE171),MIN($V$4:$AE$4)+0.1,O189))</f>
        <v>#DIV/0!</v>
      </c>
      <c r="AW189" s="31">
        <f t="shared" si="128"/>
        <v>0</v>
      </c>
      <c r="AX189" s="28" t="e">
        <f t="shared" si="129"/>
        <v>#DIV/0!</v>
      </c>
      <c r="AY189" s="28" t="e">
        <f t="shared" si="130"/>
        <v>#DIV/0!</v>
      </c>
      <c r="AZ189" s="28" t="e">
        <f t="shared" si="131"/>
        <v>#DIV/0!</v>
      </c>
      <c r="BA189" s="28" t="e">
        <f t="shared" si="132"/>
        <v>#DIV/0!</v>
      </c>
      <c r="BB189" s="28" t="e">
        <f t="shared" si="133"/>
        <v>#N/A</v>
      </c>
      <c r="BC189" s="28" t="e">
        <f t="shared" si="134"/>
        <v>#N/A</v>
      </c>
      <c r="BD189" s="28" t="e">
        <f t="shared" si="135"/>
        <v>#N/A</v>
      </c>
      <c r="BE189" s="28" t="e">
        <f t="shared" si="136"/>
        <v>#N/A</v>
      </c>
      <c r="BF189" s="28" t="e">
        <f t="shared" si="137"/>
        <v>#DIV/0!</v>
      </c>
      <c r="BG189" s="28" t="e">
        <f t="shared" si="138"/>
        <v>#DIV/0!</v>
      </c>
      <c r="BH189" s="28" t="e">
        <f t="shared" si="139"/>
        <v>#DIV/0!</v>
      </c>
      <c r="BI189" s="28" t="e">
        <f t="shared" si="140"/>
        <v>#DIV/0!</v>
      </c>
    </row>
    <row r="190" spans="2:61" ht="75" customHeight="1" x14ac:dyDescent="0.25">
      <c r="B190" s="17"/>
      <c r="C190" s="17"/>
      <c r="D190" s="17"/>
      <c r="E190" s="17"/>
      <c r="F190" s="17"/>
      <c r="G190" s="17"/>
      <c r="H190" s="65"/>
      <c r="I190" s="17"/>
      <c r="J190" s="17"/>
      <c r="K190" s="17"/>
      <c r="L190" s="17"/>
      <c r="M190" s="17" t="e">
        <f t="shared" si="106"/>
        <v>#DIV/0!</v>
      </c>
      <c r="N190" s="17"/>
      <c r="O190" s="17"/>
      <c r="P190" s="17"/>
      <c r="Q190" s="17"/>
      <c r="R190" s="17"/>
      <c r="S190" s="17"/>
      <c r="U190" s="17">
        <f t="shared" si="107"/>
        <v>0</v>
      </c>
      <c r="V190" s="17" t="e">
        <f t="shared" si="108"/>
        <v>#DIV/0!</v>
      </c>
      <c r="W190" s="30" t="e">
        <f t="shared" si="109"/>
        <v>#DIV/0!</v>
      </c>
      <c r="X190" s="17" t="e">
        <f t="shared" si="110"/>
        <v>#N/A</v>
      </c>
      <c r="Y190" s="17" t="e">
        <f t="shared" si="111"/>
        <v>#DIV/0!</v>
      </c>
      <c r="Z190" s="17" t="e">
        <f t="shared" si="112"/>
        <v>#N/A</v>
      </c>
      <c r="AA190" s="43" t="e">
        <f t="shared" si="113"/>
        <v>#DIV/0!</v>
      </c>
      <c r="AG190" s="31">
        <f t="shared" si="114"/>
        <v>0</v>
      </c>
      <c r="AH190" s="31">
        <f t="shared" si="115"/>
        <v>0</v>
      </c>
      <c r="AI190" s="28" t="e">
        <f t="shared" si="116"/>
        <v>#N/A</v>
      </c>
      <c r="AJ190" s="28" t="e">
        <f t="shared" si="117"/>
        <v>#N/A</v>
      </c>
      <c r="AK190" s="28" t="e">
        <f t="shared" si="118"/>
        <v>#N/A</v>
      </c>
      <c r="AL190" s="28" t="e">
        <f t="shared" si="119"/>
        <v>#N/A</v>
      </c>
      <c r="AM190" s="28" t="e">
        <f t="shared" si="120"/>
        <v>#N/A</v>
      </c>
      <c r="AN190" s="28" t="e">
        <f t="shared" si="121"/>
        <v>#N/A</v>
      </c>
      <c r="AO190" s="28" t="e">
        <f t="shared" si="122"/>
        <v>#N/A</v>
      </c>
      <c r="AP190" s="28" t="e">
        <f t="shared" si="123"/>
        <v>#N/A</v>
      </c>
      <c r="AQ190" s="28" t="e">
        <f t="shared" si="124"/>
        <v>#N/A</v>
      </c>
      <c r="AR190" s="28" t="e">
        <f t="shared" si="125"/>
        <v>#N/A</v>
      </c>
      <c r="AS190" s="28" t="e">
        <f t="shared" si="126"/>
        <v>#N/A</v>
      </c>
      <c r="AT190" s="28" t="e">
        <f t="shared" si="127"/>
        <v>#N/A</v>
      </c>
      <c r="AV190" s="31" t="e">
        <f>IF(O190&gt;MAX($V$4:$AE$4),MAX($V$4:$AE$4)-0.1,IF(O190&lt;MIN($V$4:$AE172),MIN($V$4:$AE$4)+0.1,O190))</f>
        <v>#DIV/0!</v>
      </c>
      <c r="AW190" s="31">
        <f t="shared" si="128"/>
        <v>0</v>
      </c>
      <c r="AX190" s="28" t="e">
        <f t="shared" si="129"/>
        <v>#DIV/0!</v>
      </c>
      <c r="AY190" s="28" t="e">
        <f t="shared" si="130"/>
        <v>#DIV/0!</v>
      </c>
      <c r="AZ190" s="28" t="e">
        <f t="shared" si="131"/>
        <v>#DIV/0!</v>
      </c>
      <c r="BA190" s="28" t="e">
        <f t="shared" si="132"/>
        <v>#DIV/0!</v>
      </c>
      <c r="BB190" s="28" t="e">
        <f t="shared" si="133"/>
        <v>#N/A</v>
      </c>
      <c r="BC190" s="28" t="e">
        <f t="shared" si="134"/>
        <v>#N/A</v>
      </c>
      <c r="BD190" s="28" t="e">
        <f t="shared" si="135"/>
        <v>#N/A</v>
      </c>
      <c r="BE190" s="28" t="e">
        <f t="shared" si="136"/>
        <v>#N/A</v>
      </c>
      <c r="BF190" s="28" t="e">
        <f t="shared" si="137"/>
        <v>#DIV/0!</v>
      </c>
      <c r="BG190" s="28" t="e">
        <f t="shared" si="138"/>
        <v>#DIV/0!</v>
      </c>
      <c r="BH190" s="28" t="e">
        <f t="shared" si="139"/>
        <v>#DIV/0!</v>
      </c>
      <c r="BI190" s="28" t="e">
        <f t="shared" si="140"/>
        <v>#DIV/0!</v>
      </c>
    </row>
    <row r="191" spans="2:61" ht="75" customHeight="1" x14ac:dyDescent="0.25">
      <c r="B191" s="17"/>
      <c r="C191" s="17"/>
      <c r="D191" s="17"/>
      <c r="E191" s="17"/>
      <c r="F191" s="17"/>
      <c r="G191" s="17"/>
      <c r="H191" s="65"/>
      <c r="I191" s="17"/>
      <c r="J191" s="17"/>
      <c r="K191" s="17"/>
      <c r="L191" s="17"/>
      <c r="M191" s="17" t="e">
        <f t="shared" si="106"/>
        <v>#DIV/0!</v>
      </c>
      <c r="N191" s="17"/>
      <c r="O191" s="17"/>
      <c r="P191" s="17"/>
      <c r="Q191" s="17"/>
      <c r="R191" s="17"/>
      <c r="S191" s="17"/>
      <c r="U191" s="17">
        <f t="shared" si="107"/>
        <v>0</v>
      </c>
      <c r="V191" s="17" t="e">
        <f t="shared" si="108"/>
        <v>#DIV/0!</v>
      </c>
      <c r="W191" s="30" t="e">
        <f t="shared" si="109"/>
        <v>#DIV/0!</v>
      </c>
      <c r="X191" s="17" t="e">
        <f t="shared" si="110"/>
        <v>#N/A</v>
      </c>
      <c r="Y191" s="17" t="e">
        <f t="shared" si="111"/>
        <v>#DIV/0!</v>
      </c>
      <c r="Z191" s="17" t="e">
        <f t="shared" si="112"/>
        <v>#N/A</v>
      </c>
      <c r="AA191" s="43" t="e">
        <f t="shared" si="113"/>
        <v>#DIV/0!</v>
      </c>
      <c r="AG191" s="31">
        <f t="shared" si="114"/>
        <v>0</v>
      </c>
      <c r="AH191" s="31">
        <f t="shared" si="115"/>
        <v>0</v>
      </c>
      <c r="AI191" s="28" t="e">
        <f t="shared" si="116"/>
        <v>#N/A</v>
      </c>
      <c r="AJ191" s="28" t="e">
        <f t="shared" si="117"/>
        <v>#N/A</v>
      </c>
      <c r="AK191" s="28" t="e">
        <f t="shared" si="118"/>
        <v>#N/A</v>
      </c>
      <c r="AL191" s="28" t="e">
        <f t="shared" si="119"/>
        <v>#N/A</v>
      </c>
      <c r="AM191" s="28" t="e">
        <f t="shared" si="120"/>
        <v>#N/A</v>
      </c>
      <c r="AN191" s="28" t="e">
        <f t="shared" si="121"/>
        <v>#N/A</v>
      </c>
      <c r="AO191" s="28" t="e">
        <f t="shared" si="122"/>
        <v>#N/A</v>
      </c>
      <c r="AP191" s="28" t="e">
        <f t="shared" si="123"/>
        <v>#N/A</v>
      </c>
      <c r="AQ191" s="28" t="e">
        <f t="shared" si="124"/>
        <v>#N/A</v>
      </c>
      <c r="AR191" s="28" t="e">
        <f t="shared" si="125"/>
        <v>#N/A</v>
      </c>
      <c r="AS191" s="28" t="e">
        <f t="shared" si="126"/>
        <v>#N/A</v>
      </c>
      <c r="AT191" s="28" t="e">
        <f t="shared" si="127"/>
        <v>#N/A</v>
      </c>
      <c r="AV191" s="31" t="e">
        <f>IF(O191&gt;MAX($V$4:$AE$4),MAX($V$4:$AE$4)-0.1,IF(O191&lt;MIN($V$4:$AE173),MIN($V$4:$AE$4)+0.1,O191))</f>
        <v>#DIV/0!</v>
      </c>
      <c r="AW191" s="31">
        <f t="shared" si="128"/>
        <v>0</v>
      </c>
      <c r="AX191" s="28" t="e">
        <f t="shared" si="129"/>
        <v>#DIV/0!</v>
      </c>
      <c r="AY191" s="28" t="e">
        <f t="shared" si="130"/>
        <v>#DIV/0!</v>
      </c>
      <c r="AZ191" s="28" t="e">
        <f t="shared" si="131"/>
        <v>#DIV/0!</v>
      </c>
      <c r="BA191" s="28" t="e">
        <f t="shared" si="132"/>
        <v>#DIV/0!</v>
      </c>
      <c r="BB191" s="28" t="e">
        <f t="shared" si="133"/>
        <v>#N/A</v>
      </c>
      <c r="BC191" s="28" t="e">
        <f t="shared" si="134"/>
        <v>#N/A</v>
      </c>
      <c r="BD191" s="28" t="e">
        <f t="shared" si="135"/>
        <v>#N/A</v>
      </c>
      <c r="BE191" s="28" t="e">
        <f t="shared" si="136"/>
        <v>#N/A</v>
      </c>
      <c r="BF191" s="28" t="e">
        <f t="shared" si="137"/>
        <v>#DIV/0!</v>
      </c>
      <c r="BG191" s="28" t="e">
        <f t="shared" si="138"/>
        <v>#DIV/0!</v>
      </c>
      <c r="BH191" s="28" t="e">
        <f t="shared" si="139"/>
        <v>#DIV/0!</v>
      </c>
      <c r="BI191" s="28" t="e">
        <f t="shared" si="140"/>
        <v>#DIV/0!</v>
      </c>
    </row>
    <row r="192" spans="2:61" ht="75" customHeight="1" x14ac:dyDescent="0.25">
      <c r="B192" s="17"/>
      <c r="C192" s="17"/>
      <c r="D192" s="17"/>
      <c r="E192" s="17"/>
      <c r="F192" s="17"/>
      <c r="G192" s="17"/>
      <c r="H192" s="65"/>
      <c r="I192" s="17"/>
      <c r="J192" s="17"/>
      <c r="K192" s="17"/>
      <c r="L192" s="17"/>
      <c r="M192" s="17" t="e">
        <f t="shared" si="106"/>
        <v>#DIV/0!</v>
      </c>
      <c r="N192" s="17"/>
      <c r="O192" s="17"/>
      <c r="P192" s="17"/>
      <c r="Q192" s="17"/>
      <c r="R192" s="17"/>
      <c r="S192" s="17"/>
      <c r="U192" s="17">
        <f t="shared" si="107"/>
        <v>0</v>
      </c>
      <c r="V192" s="17" t="e">
        <f t="shared" si="108"/>
        <v>#DIV/0!</v>
      </c>
      <c r="W192" s="30" t="e">
        <f t="shared" si="109"/>
        <v>#DIV/0!</v>
      </c>
      <c r="X192" s="17" t="e">
        <f t="shared" si="110"/>
        <v>#N/A</v>
      </c>
      <c r="Y192" s="17" t="e">
        <f t="shared" si="111"/>
        <v>#DIV/0!</v>
      </c>
      <c r="Z192" s="17" t="e">
        <f t="shared" si="112"/>
        <v>#N/A</v>
      </c>
      <c r="AA192" s="43" t="e">
        <f t="shared" si="113"/>
        <v>#DIV/0!</v>
      </c>
      <c r="AG192" s="31">
        <f t="shared" si="114"/>
        <v>0</v>
      </c>
      <c r="AH192" s="31">
        <f t="shared" si="115"/>
        <v>0</v>
      </c>
      <c r="AI192" s="28" t="e">
        <f t="shared" si="116"/>
        <v>#N/A</v>
      </c>
      <c r="AJ192" s="28" t="e">
        <f t="shared" si="117"/>
        <v>#N/A</v>
      </c>
      <c r="AK192" s="28" t="e">
        <f t="shared" si="118"/>
        <v>#N/A</v>
      </c>
      <c r="AL192" s="28" t="e">
        <f t="shared" si="119"/>
        <v>#N/A</v>
      </c>
      <c r="AM192" s="28" t="e">
        <f t="shared" si="120"/>
        <v>#N/A</v>
      </c>
      <c r="AN192" s="28" t="e">
        <f t="shared" si="121"/>
        <v>#N/A</v>
      </c>
      <c r="AO192" s="28" t="e">
        <f t="shared" si="122"/>
        <v>#N/A</v>
      </c>
      <c r="AP192" s="28" t="e">
        <f t="shared" si="123"/>
        <v>#N/A</v>
      </c>
      <c r="AQ192" s="28" t="e">
        <f t="shared" si="124"/>
        <v>#N/A</v>
      </c>
      <c r="AR192" s="28" t="e">
        <f t="shared" si="125"/>
        <v>#N/A</v>
      </c>
      <c r="AS192" s="28" t="e">
        <f t="shared" si="126"/>
        <v>#N/A</v>
      </c>
      <c r="AT192" s="28" t="e">
        <f t="shared" si="127"/>
        <v>#N/A</v>
      </c>
      <c r="AV192" s="31" t="e">
        <f>IF(O192&gt;MAX($V$4:$AE$4),MAX($V$4:$AE$4)-0.1,IF(O192&lt;MIN($V$4:$AE174),MIN($V$4:$AE$4)+0.1,O192))</f>
        <v>#DIV/0!</v>
      </c>
      <c r="AW192" s="31">
        <f t="shared" si="128"/>
        <v>0</v>
      </c>
      <c r="AX192" s="28" t="e">
        <f t="shared" si="129"/>
        <v>#DIV/0!</v>
      </c>
      <c r="AY192" s="28" t="e">
        <f t="shared" si="130"/>
        <v>#DIV/0!</v>
      </c>
      <c r="AZ192" s="28" t="e">
        <f t="shared" si="131"/>
        <v>#DIV/0!</v>
      </c>
      <c r="BA192" s="28" t="e">
        <f t="shared" si="132"/>
        <v>#DIV/0!</v>
      </c>
      <c r="BB192" s="28" t="e">
        <f t="shared" si="133"/>
        <v>#N/A</v>
      </c>
      <c r="BC192" s="28" t="e">
        <f t="shared" si="134"/>
        <v>#N/A</v>
      </c>
      <c r="BD192" s="28" t="e">
        <f t="shared" si="135"/>
        <v>#N/A</v>
      </c>
      <c r="BE192" s="28" t="e">
        <f t="shared" si="136"/>
        <v>#N/A</v>
      </c>
      <c r="BF192" s="28" t="e">
        <f t="shared" si="137"/>
        <v>#DIV/0!</v>
      </c>
      <c r="BG192" s="28" t="e">
        <f t="shared" si="138"/>
        <v>#DIV/0!</v>
      </c>
      <c r="BH192" s="28" t="e">
        <f t="shared" si="139"/>
        <v>#DIV/0!</v>
      </c>
      <c r="BI192" s="28" t="e">
        <f t="shared" si="140"/>
        <v>#DIV/0!</v>
      </c>
    </row>
    <row r="193" spans="2:61" ht="75" customHeight="1" x14ac:dyDescent="0.25">
      <c r="B193" s="17"/>
      <c r="C193" s="17"/>
      <c r="D193" s="17"/>
      <c r="E193" s="17"/>
      <c r="F193" s="17"/>
      <c r="G193" s="17"/>
      <c r="H193" s="65"/>
      <c r="I193" s="17"/>
      <c r="J193" s="17"/>
      <c r="K193" s="17"/>
      <c r="L193" s="17"/>
      <c r="M193" s="17" t="e">
        <f t="shared" si="106"/>
        <v>#DIV/0!</v>
      </c>
      <c r="N193" s="17"/>
      <c r="O193" s="17"/>
      <c r="P193" s="17"/>
      <c r="Q193" s="17"/>
      <c r="R193" s="17"/>
      <c r="S193" s="17"/>
      <c r="U193" s="17">
        <f t="shared" si="107"/>
        <v>0</v>
      </c>
      <c r="V193" s="17" t="e">
        <f t="shared" si="108"/>
        <v>#DIV/0!</v>
      </c>
      <c r="W193" s="30" t="e">
        <f t="shared" si="109"/>
        <v>#DIV/0!</v>
      </c>
      <c r="X193" s="17" t="e">
        <f t="shared" si="110"/>
        <v>#N/A</v>
      </c>
      <c r="Y193" s="17" t="e">
        <f t="shared" si="111"/>
        <v>#DIV/0!</v>
      </c>
      <c r="Z193" s="17" t="e">
        <f t="shared" si="112"/>
        <v>#N/A</v>
      </c>
      <c r="AA193" s="43" t="e">
        <f t="shared" si="113"/>
        <v>#DIV/0!</v>
      </c>
      <c r="AG193" s="31">
        <f t="shared" si="114"/>
        <v>0</v>
      </c>
      <c r="AH193" s="31">
        <f t="shared" si="115"/>
        <v>0</v>
      </c>
      <c r="AI193" s="28" t="e">
        <f t="shared" si="116"/>
        <v>#N/A</v>
      </c>
      <c r="AJ193" s="28" t="e">
        <f t="shared" si="117"/>
        <v>#N/A</v>
      </c>
      <c r="AK193" s="28" t="e">
        <f t="shared" si="118"/>
        <v>#N/A</v>
      </c>
      <c r="AL193" s="28" t="e">
        <f t="shared" si="119"/>
        <v>#N/A</v>
      </c>
      <c r="AM193" s="28" t="e">
        <f t="shared" si="120"/>
        <v>#N/A</v>
      </c>
      <c r="AN193" s="28" t="e">
        <f t="shared" si="121"/>
        <v>#N/A</v>
      </c>
      <c r="AO193" s="28" t="e">
        <f t="shared" si="122"/>
        <v>#N/A</v>
      </c>
      <c r="AP193" s="28" t="e">
        <f t="shared" si="123"/>
        <v>#N/A</v>
      </c>
      <c r="AQ193" s="28" t="e">
        <f t="shared" si="124"/>
        <v>#N/A</v>
      </c>
      <c r="AR193" s="28" t="e">
        <f t="shared" si="125"/>
        <v>#N/A</v>
      </c>
      <c r="AS193" s="28" t="e">
        <f t="shared" si="126"/>
        <v>#N/A</v>
      </c>
      <c r="AT193" s="28" t="e">
        <f t="shared" si="127"/>
        <v>#N/A</v>
      </c>
      <c r="AV193" s="31" t="e">
        <f>IF(O193&gt;MAX($V$4:$AE$4),MAX($V$4:$AE$4)-0.1,IF(O193&lt;MIN($V$4:$AE175),MIN($V$4:$AE$4)+0.1,O193))</f>
        <v>#DIV/0!</v>
      </c>
      <c r="AW193" s="31">
        <f t="shared" si="128"/>
        <v>0</v>
      </c>
      <c r="AX193" s="28" t="e">
        <f t="shared" si="129"/>
        <v>#DIV/0!</v>
      </c>
      <c r="AY193" s="28" t="e">
        <f t="shared" si="130"/>
        <v>#DIV/0!</v>
      </c>
      <c r="AZ193" s="28" t="e">
        <f t="shared" si="131"/>
        <v>#DIV/0!</v>
      </c>
      <c r="BA193" s="28" t="e">
        <f t="shared" si="132"/>
        <v>#DIV/0!</v>
      </c>
      <c r="BB193" s="28" t="e">
        <f t="shared" si="133"/>
        <v>#N/A</v>
      </c>
      <c r="BC193" s="28" t="e">
        <f t="shared" si="134"/>
        <v>#N/A</v>
      </c>
      <c r="BD193" s="28" t="e">
        <f t="shared" si="135"/>
        <v>#N/A</v>
      </c>
      <c r="BE193" s="28" t="e">
        <f t="shared" si="136"/>
        <v>#N/A</v>
      </c>
      <c r="BF193" s="28" t="e">
        <f t="shared" si="137"/>
        <v>#DIV/0!</v>
      </c>
      <c r="BG193" s="28" t="e">
        <f t="shared" si="138"/>
        <v>#DIV/0!</v>
      </c>
      <c r="BH193" s="28" t="e">
        <f t="shared" si="139"/>
        <v>#DIV/0!</v>
      </c>
      <c r="BI193" s="28" t="e">
        <f t="shared" si="140"/>
        <v>#DIV/0!</v>
      </c>
    </row>
    <row r="194" spans="2:61" ht="75" customHeight="1" x14ac:dyDescent="0.25">
      <c r="B194" s="17"/>
      <c r="C194" s="17"/>
      <c r="D194" s="17"/>
      <c r="E194" s="17"/>
      <c r="F194" s="17"/>
      <c r="G194" s="17"/>
      <c r="H194" s="65"/>
      <c r="I194" s="17"/>
      <c r="J194" s="17"/>
      <c r="K194" s="17"/>
      <c r="L194" s="17"/>
      <c r="M194" s="17" t="e">
        <f t="shared" si="106"/>
        <v>#DIV/0!</v>
      </c>
      <c r="N194" s="17"/>
      <c r="O194" s="17"/>
      <c r="P194" s="17"/>
      <c r="Q194" s="17"/>
      <c r="R194" s="17"/>
      <c r="S194" s="17"/>
      <c r="U194" s="17">
        <f t="shared" si="107"/>
        <v>0</v>
      </c>
      <c r="V194" s="17" t="e">
        <f t="shared" si="108"/>
        <v>#DIV/0!</v>
      </c>
      <c r="W194" s="30" t="e">
        <f t="shared" si="109"/>
        <v>#DIV/0!</v>
      </c>
      <c r="X194" s="17" t="e">
        <f t="shared" si="110"/>
        <v>#N/A</v>
      </c>
      <c r="Y194" s="17" t="e">
        <f t="shared" si="111"/>
        <v>#DIV/0!</v>
      </c>
      <c r="Z194" s="17" t="e">
        <f t="shared" si="112"/>
        <v>#N/A</v>
      </c>
      <c r="AA194" s="43" t="e">
        <f t="shared" si="113"/>
        <v>#DIV/0!</v>
      </c>
      <c r="AG194" s="31">
        <f t="shared" si="114"/>
        <v>0</v>
      </c>
      <c r="AH194" s="31">
        <f t="shared" si="115"/>
        <v>0</v>
      </c>
      <c r="AI194" s="28" t="e">
        <f t="shared" si="116"/>
        <v>#N/A</v>
      </c>
      <c r="AJ194" s="28" t="e">
        <f t="shared" si="117"/>
        <v>#N/A</v>
      </c>
      <c r="AK194" s="28" t="e">
        <f t="shared" si="118"/>
        <v>#N/A</v>
      </c>
      <c r="AL194" s="28" t="e">
        <f t="shared" si="119"/>
        <v>#N/A</v>
      </c>
      <c r="AM194" s="28" t="e">
        <f t="shared" si="120"/>
        <v>#N/A</v>
      </c>
      <c r="AN194" s="28" t="e">
        <f t="shared" si="121"/>
        <v>#N/A</v>
      </c>
      <c r="AO194" s="28" t="e">
        <f t="shared" si="122"/>
        <v>#N/A</v>
      </c>
      <c r="AP194" s="28" t="e">
        <f t="shared" si="123"/>
        <v>#N/A</v>
      </c>
      <c r="AQ194" s="28" t="e">
        <f t="shared" si="124"/>
        <v>#N/A</v>
      </c>
      <c r="AR194" s="28" t="e">
        <f t="shared" si="125"/>
        <v>#N/A</v>
      </c>
      <c r="AS194" s="28" t="e">
        <f t="shared" si="126"/>
        <v>#N/A</v>
      </c>
      <c r="AT194" s="28" t="e">
        <f t="shared" si="127"/>
        <v>#N/A</v>
      </c>
      <c r="AV194" s="31" t="e">
        <f>IF(O194&gt;MAX($V$4:$AE$4),MAX($V$4:$AE$4)-0.1,IF(O194&lt;MIN($V$4:$AE176),MIN($V$4:$AE$4)+0.1,O194))</f>
        <v>#DIV/0!</v>
      </c>
      <c r="AW194" s="31">
        <f t="shared" si="128"/>
        <v>0</v>
      </c>
      <c r="AX194" s="28" t="e">
        <f t="shared" si="129"/>
        <v>#DIV/0!</v>
      </c>
      <c r="AY194" s="28" t="e">
        <f t="shared" si="130"/>
        <v>#DIV/0!</v>
      </c>
      <c r="AZ194" s="28" t="e">
        <f t="shared" si="131"/>
        <v>#DIV/0!</v>
      </c>
      <c r="BA194" s="28" t="e">
        <f t="shared" si="132"/>
        <v>#DIV/0!</v>
      </c>
      <c r="BB194" s="28" t="e">
        <f t="shared" si="133"/>
        <v>#N/A</v>
      </c>
      <c r="BC194" s="28" t="e">
        <f t="shared" si="134"/>
        <v>#N/A</v>
      </c>
      <c r="BD194" s="28" t="e">
        <f t="shared" si="135"/>
        <v>#N/A</v>
      </c>
      <c r="BE194" s="28" t="e">
        <f t="shared" si="136"/>
        <v>#N/A</v>
      </c>
      <c r="BF194" s="28" t="e">
        <f t="shared" si="137"/>
        <v>#DIV/0!</v>
      </c>
      <c r="BG194" s="28" t="e">
        <f t="shared" si="138"/>
        <v>#DIV/0!</v>
      </c>
      <c r="BH194" s="28" t="e">
        <f t="shared" si="139"/>
        <v>#DIV/0!</v>
      </c>
      <c r="BI194" s="28" t="e">
        <f t="shared" si="140"/>
        <v>#DIV/0!</v>
      </c>
    </row>
    <row r="195" spans="2:61" ht="75" customHeight="1" x14ac:dyDescent="0.25">
      <c r="B195" s="17"/>
      <c r="C195" s="17"/>
      <c r="D195" s="17"/>
      <c r="E195" s="17"/>
      <c r="F195" s="17"/>
      <c r="G195" s="17"/>
      <c r="H195" s="65"/>
      <c r="I195" s="17"/>
      <c r="J195" s="17"/>
      <c r="K195" s="17"/>
      <c r="L195" s="17"/>
      <c r="M195" s="17" t="e">
        <f t="shared" si="106"/>
        <v>#DIV/0!</v>
      </c>
      <c r="N195" s="17"/>
      <c r="O195" s="17"/>
      <c r="P195" s="17"/>
      <c r="Q195" s="17"/>
      <c r="R195" s="17"/>
      <c r="S195" s="17"/>
      <c r="U195" s="17">
        <f t="shared" si="107"/>
        <v>0</v>
      </c>
      <c r="V195" s="17" t="e">
        <f t="shared" si="108"/>
        <v>#DIV/0!</v>
      </c>
      <c r="W195" s="30" t="e">
        <f t="shared" si="109"/>
        <v>#DIV/0!</v>
      </c>
      <c r="X195" s="17" t="e">
        <f t="shared" si="110"/>
        <v>#N/A</v>
      </c>
      <c r="Y195" s="17" t="e">
        <f t="shared" si="111"/>
        <v>#DIV/0!</v>
      </c>
      <c r="Z195" s="17" t="e">
        <f t="shared" si="112"/>
        <v>#N/A</v>
      </c>
      <c r="AA195" s="43" t="e">
        <f t="shared" si="113"/>
        <v>#DIV/0!</v>
      </c>
      <c r="AG195" s="31">
        <f t="shared" si="114"/>
        <v>0</v>
      </c>
      <c r="AH195" s="31">
        <f t="shared" si="115"/>
        <v>0</v>
      </c>
      <c r="AI195" s="28" t="e">
        <f t="shared" si="116"/>
        <v>#N/A</v>
      </c>
      <c r="AJ195" s="28" t="e">
        <f t="shared" si="117"/>
        <v>#N/A</v>
      </c>
      <c r="AK195" s="28" t="e">
        <f t="shared" si="118"/>
        <v>#N/A</v>
      </c>
      <c r="AL195" s="28" t="e">
        <f t="shared" si="119"/>
        <v>#N/A</v>
      </c>
      <c r="AM195" s="28" t="e">
        <f t="shared" si="120"/>
        <v>#N/A</v>
      </c>
      <c r="AN195" s="28" t="e">
        <f t="shared" si="121"/>
        <v>#N/A</v>
      </c>
      <c r="AO195" s="28" t="e">
        <f t="shared" si="122"/>
        <v>#N/A</v>
      </c>
      <c r="AP195" s="28" t="e">
        <f t="shared" si="123"/>
        <v>#N/A</v>
      </c>
      <c r="AQ195" s="28" t="e">
        <f t="shared" si="124"/>
        <v>#N/A</v>
      </c>
      <c r="AR195" s="28" t="e">
        <f t="shared" si="125"/>
        <v>#N/A</v>
      </c>
      <c r="AS195" s="28" t="e">
        <f t="shared" si="126"/>
        <v>#N/A</v>
      </c>
      <c r="AT195" s="28" t="e">
        <f t="shared" si="127"/>
        <v>#N/A</v>
      </c>
      <c r="AV195" s="31" t="e">
        <f>IF(O195&gt;MAX($V$4:$AE$4),MAX($V$4:$AE$4)-0.1,IF(O195&lt;MIN($V$4:$AE177),MIN($V$4:$AE$4)+0.1,O195))</f>
        <v>#DIV/0!</v>
      </c>
      <c r="AW195" s="31">
        <f t="shared" si="128"/>
        <v>0</v>
      </c>
      <c r="AX195" s="28" t="e">
        <f t="shared" si="129"/>
        <v>#DIV/0!</v>
      </c>
      <c r="AY195" s="28" t="e">
        <f t="shared" si="130"/>
        <v>#DIV/0!</v>
      </c>
      <c r="AZ195" s="28" t="e">
        <f t="shared" si="131"/>
        <v>#DIV/0!</v>
      </c>
      <c r="BA195" s="28" t="e">
        <f t="shared" si="132"/>
        <v>#DIV/0!</v>
      </c>
      <c r="BB195" s="28" t="e">
        <f t="shared" si="133"/>
        <v>#N/A</v>
      </c>
      <c r="BC195" s="28" t="e">
        <f t="shared" si="134"/>
        <v>#N/A</v>
      </c>
      <c r="BD195" s="28" t="e">
        <f t="shared" si="135"/>
        <v>#N/A</v>
      </c>
      <c r="BE195" s="28" t="e">
        <f t="shared" si="136"/>
        <v>#N/A</v>
      </c>
      <c r="BF195" s="28" t="e">
        <f t="shared" si="137"/>
        <v>#DIV/0!</v>
      </c>
      <c r="BG195" s="28" t="e">
        <f t="shared" si="138"/>
        <v>#DIV/0!</v>
      </c>
      <c r="BH195" s="28" t="e">
        <f t="shared" si="139"/>
        <v>#DIV/0!</v>
      </c>
      <c r="BI195" s="28" t="e">
        <f t="shared" si="140"/>
        <v>#DIV/0!</v>
      </c>
    </row>
    <row r="196" spans="2:61" ht="75" customHeight="1" x14ac:dyDescent="0.25">
      <c r="B196" s="17"/>
      <c r="C196" s="17"/>
      <c r="D196" s="17"/>
      <c r="E196" s="17"/>
      <c r="F196" s="17"/>
      <c r="G196" s="17"/>
      <c r="H196" s="65"/>
      <c r="I196" s="17"/>
      <c r="J196" s="17"/>
      <c r="K196" s="17"/>
      <c r="L196" s="17"/>
      <c r="M196" s="17" t="e">
        <f t="shared" si="106"/>
        <v>#DIV/0!</v>
      </c>
      <c r="N196" s="17"/>
      <c r="O196" s="17"/>
      <c r="P196" s="17"/>
      <c r="Q196" s="17"/>
      <c r="R196" s="17"/>
      <c r="S196" s="17"/>
      <c r="U196" s="17">
        <f t="shared" si="107"/>
        <v>0</v>
      </c>
      <c r="V196" s="17" t="e">
        <f t="shared" si="108"/>
        <v>#DIV/0!</v>
      </c>
      <c r="W196" s="30" t="e">
        <f t="shared" si="109"/>
        <v>#DIV/0!</v>
      </c>
      <c r="X196" s="17" t="e">
        <f t="shared" si="110"/>
        <v>#N/A</v>
      </c>
      <c r="Y196" s="17" t="e">
        <f t="shared" si="111"/>
        <v>#DIV/0!</v>
      </c>
      <c r="Z196" s="17" t="e">
        <f t="shared" si="112"/>
        <v>#N/A</v>
      </c>
      <c r="AA196" s="43" t="e">
        <f t="shared" si="113"/>
        <v>#DIV/0!</v>
      </c>
      <c r="AG196" s="31">
        <f t="shared" si="114"/>
        <v>0</v>
      </c>
      <c r="AH196" s="31">
        <f t="shared" si="115"/>
        <v>0</v>
      </c>
      <c r="AI196" s="28" t="e">
        <f t="shared" si="116"/>
        <v>#N/A</v>
      </c>
      <c r="AJ196" s="28" t="e">
        <f t="shared" si="117"/>
        <v>#N/A</v>
      </c>
      <c r="AK196" s="28" t="e">
        <f t="shared" si="118"/>
        <v>#N/A</v>
      </c>
      <c r="AL196" s="28" t="e">
        <f t="shared" si="119"/>
        <v>#N/A</v>
      </c>
      <c r="AM196" s="28" t="e">
        <f t="shared" si="120"/>
        <v>#N/A</v>
      </c>
      <c r="AN196" s="28" t="e">
        <f t="shared" si="121"/>
        <v>#N/A</v>
      </c>
      <c r="AO196" s="28" t="e">
        <f t="shared" si="122"/>
        <v>#N/A</v>
      </c>
      <c r="AP196" s="28" t="e">
        <f t="shared" si="123"/>
        <v>#N/A</v>
      </c>
      <c r="AQ196" s="28" t="e">
        <f t="shared" si="124"/>
        <v>#N/A</v>
      </c>
      <c r="AR196" s="28" t="e">
        <f t="shared" si="125"/>
        <v>#N/A</v>
      </c>
      <c r="AS196" s="28" t="e">
        <f t="shared" si="126"/>
        <v>#N/A</v>
      </c>
      <c r="AT196" s="28" t="e">
        <f t="shared" si="127"/>
        <v>#N/A</v>
      </c>
      <c r="AV196" s="31" t="e">
        <f>IF(O196&gt;MAX($V$4:$AE$4),MAX($V$4:$AE$4)-0.1,IF(O196&lt;MIN($V$4:$AE178),MIN($V$4:$AE$4)+0.1,O196))</f>
        <v>#DIV/0!</v>
      </c>
      <c r="AW196" s="31">
        <f t="shared" si="128"/>
        <v>0</v>
      </c>
      <c r="AX196" s="28" t="e">
        <f t="shared" si="129"/>
        <v>#DIV/0!</v>
      </c>
      <c r="AY196" s="28" t="e">
        <f t="shared" si="130"/>
        <v>#DIV/0!</v>
      </c>
      <c r="AZ196" s="28" t="e">
        <f t="shared" si="131"/>
        <v>#DIV/0!</v>
      </c>
      <c r="BA196" s="28" t="e">
        <f t="shared" si="132"/>
        <v>#DIV/0!</v>
      </c>
      <c r="BB196" s="28" t="e">
        <f t="shared" si="133"/>
        <v>#N/A</v>
      </c>
      <c r="BC196" s="28" t="e">
        <f t="shared" si="134"/>
        <v>#N/A</v>
      </c>
      <c r="BD196" s="28" t="e">
        <f t="shared" si="135"/>
        <v>#N/A</v>
      </c>
      <c r="BE196" s="28" t="e">
        <f t="shared" si="136"/>
        <v>#N/A</v>
      </c>
      <c r="BF196" s="28" t="e">
        <f t="shared" si="137"/>
        <v>#DIV/0!</v>
      </c>
      <c r="BG196" s="28" t="e">
        <f t="shared" si="138"/>
        <v>#DIV/0!</v>
      </c>
      <c r="BH196" s="28" t="e">
        <f t="shared" si="139"/>
        <v>#DIV/0!</v>
      </c>
      <c r="BI196" s="28" t="e">
        <f t="shared" si="140"/>
        <v>#DIV/0!</v>
      </c>
    </row>
    <row r="197" spans="2:61" ht="75" customHeight="1" x14ac:dyDescent="0.25">
      <c r="B197" s="17"/>
      <c r="C197" s="17"/>
      <c r="D197" s="17"/>
      <c r="E197" s="17"/>
      <c r="F197" s="17"/>
      <c r="G197" s="17"/>
      <c r="H197" s="65"/>
      <c r="I197" s="17"/>
      <c r="J197" s="17"/>
      <c r="K197" s="17"/>
      <c r="L197" s="17"/>
      <c r="M197" s="17" t="e">
        <f t="shared" si="106"/>
        <v>#DIV/0!</v>
      </c>
      <c r="N197" s="17"/>
      <c r="O197" s="17"/>
      <c r="P197" s="17"/>
      <c r="Q197" s="17"/>
      <c r="R197" s="17"/>
      <c r="S197" s="17"/>
      <c r="U197" s="17">
        <f t="shared" si="107"/>
        <v>0</v>
      </c>
      <c r="V197" s="17" t="e">
        <f t="shared" si="108"/>
        <v>#DIV/0!</v>
      </c>
      <c r="W197" s="30" t="e">
        <f t="shared" si="109"/>
        <v>#DIV/0!</v>
      </c>
      <c r="X197" s="17" t="e">
        <f t="shared" si="110"/>
        <v>#N/A</v>
      </c>
      <c r="Y197" s="17" t="e">
        <f t="shared" si="111"/>
        <v>#DIV/0!</v>
      </c>
      <c r="Z197" s="17" t="e">
        <f t="shared" si="112"/>
        <v>#N/A</v>
      </c>
      <c r="AA197" s="43" t="e">
        <f t="shared" si="113"/>
        <v>#DIV/0!</v>
      </c>
      <c r="AG197" s="31">
        <f t="shared" si="114"/>
        <v>0</v>
      </c>
      <c r="AH197" s="31">
        <f t="shared" si="115"/>
        <v>0</v>
      </c>
      <c r="AI197" s="28" t="e">
        <f t="shared" si="116"/>
        <v>#N/A</v>
      </c>
      <c r="AJ197" s="28" t="e">
        <f t="shared" si="117"/>
        <v>#N/A</v>
      </c>
      <c r="AK197" s="28" t="e">
        <f t="shared" si="118"/>
        <v>#N/A</v>
      </c>
      <c r="AL197" s="28" t="e">
        <f t="shared" si="119"/>
        <v>#N/A</v>
      </c>
      <c r="AM197" s="28" t="e">
        <f t="shared" si="120"/>
        <v>#N/A</v>
      </c>
      <c r="AN197" s="28" t="e">
        <f t="shared" si="121"/>
        <v>#N/A</v>
      </c>
      <c r="AO197" s="28" t="e">
        <f t="shared" si="122"/>
        <v>#N/A</v>
      </c>
      <c r="AP197" s="28" t="e">
        <f t="shared" si="123"/>
        <v>#N/A</v>
      </c>
      <c r="AQ197" s="28" t="e">
        <f t="shared" si="124"/>
        <v>#N/A</v>
      </c>
      <c r="AR197" s="28" t="e">
        <f t="shared" si="125"/>
        <v>#N/A</v>
      </c>
      <c r="AS197" s="28" t="e">
        <f t="shared" si="126"/>
        <v>#N/A</v>
      </c>
      <c r="AT197" s="28" t="e">
        <f t="shared" si="127"/>
        <v>#N/A</v>
      </c>
      <c r="AV197" s="31" t="e">
        <f>IF(O197&gt;MAX($V$4:$AE$4),MAX($V$4:$AE$4)-0.1,IF(O197&lt;MIN($V$4:$AE179),MIN($V$4:$AE$4)+0.1,O197))</f>
        <v>#DIV/0!</v>
      </c>
      <c r="AW197" s="31">
        <f t="shared" si="128"/>
        <v>0</v>
      </c>
      <c r="AX197" s="28" t="e">
        <f t="shared" si="129"/>
        <v>#DIV/0!</v>
      </c>
      <c r="AY197" s="28" t="e">
        <f t="shared" si="130"/>
        <v>#DIV/0!</v>
      </c>
      <c r="AZ197" s="28" t="e">
        <f t="shared" si="131"/>
        <v>#DIV/0!</v>
      </c>
      <c r="BA197" s="28" t="e">
        <f t="shared" si="132"/>
        <v>#DIV/0!</v>
      </c>
      <c r="BB197" s="28" t="e">
        <f t="shared" si="133"/>
        <v>#N/A</v>
      </c>
      <c r="BC197" s="28" t="e">
        <f t="shared" si="134"/>
        <v>#N/A</v>
      </c>
      <c r="BD197" s="28" t="e">
        <f t="shared" si="135"/>
        <v>#N/A</v>
      </c>
      <c r="BE197" s="28" t="e">
        <f t="shared" si="136"/>
        <v>#N/A</v>
      </c>
      <c r="BF197" s="28" t="e">
        <f t="shared" si="137"/>
        <v>#DIV/0!</v>
      </c>
      <c r="BG197" s="28" t="e">
        <f t="shared" si="138"/>
        <v>#DIV/0!</v>
      </c>
      <c r="BH197" s="28" t="e">
        <f t="shared" si="139"/>
        <v>#DIV/0!</v>
      </c>
      <c r="BI197" s="28" t="e">
        <f t="shared" si="140"/>
        <v>#DIV/0!</v>
      </c>
    </row>
    <row r="198" spans="2:61" ht="75" customHeight="1" x14ac:dyDescent="0.25">
      <c r="B198" s="17"/>
      <c r="C198" s="17"/>
      <c r="D198" s="17"/>
      <c r="E198" s="17"/>
      <c r="F198" s="17"/>
      <c r="G198" s="17"/>
      <c r="H198" s="65"/>
      <c r="I198" s="17"/>
      <c r="J198" s="17"/>
      <c r="K198" s="17"/>
      <c r="L198" s="17"/>
      <c r="M198" s="17" t="e">
        <f t="shared" si="106"/>
        <v>#DIV/0!</v>
      </c>
      <c r="N198" s="17"/>
      <c r="O198" s="17"/>
      <c r="P198" s="17"/>
      <c r="Q198" s="17"/>
      <c r="R198" s="17"/>
      <c r="S198" s="17"/>
      <c r="U198" s="17">
        <f t="shared" si="107"/>
        <v>0</v>
      </c>
      <c r="V198" s="17" t="e">
        <f t="shared" si="108"/>
        <v>#DIV/0!</v>
      </c>
      <c r="W198" s="30" t="e">
        <f t="shared" si="109"/>
        <v>#DIV/0!</v>
      </c>
      <c r="X198" s="17" t="e">
        <f t="shared" si="110"/>
        <v>#N/A</v>
      </c>
      <c r="Y198" s="17" t="e">
        <f t="shared" si="111"/>
        <v>#DIV/0!</v>
      </c>
      <c r="Z198" s="17" t="e">
        <f t="shared" si="112"/>
        <v>#N/A</v>
      </c>
      <c r="AA198" s="43" t="e">
        <f t="shared" si="113"/>
        <v>#DIV/0!</v>
      </c>
      <c r="AG198" s="31">
        <f t="shared" si="114"/>
        <v>0</v>
      </c>
      <c r="AH198" s="31">
        <f t="shared" si="115"/>
        <v>0</v>
      </c>
      <c r="AI198" s="28" t="e">
        <f t="shared" si="116"/>
        <v>#N/A</v>
      </c>
      <c r="AJ198" s="28" t="e">
        <f t="shared" si="117"/>
        <v>#N/A</v>
      </c>
      <c r="AK198" s="28" t="e">
        <f t="shared" si="118"/>
        <v>#N/A</v>
      </c>
      <c r="AL198" s="28" t="e">
        <f t="shared" si="119"/>
        <v>#N/A</v>
      </c>
      <c r="AM198" s="28" t="e">
        <f t="shared" si="120"/>
        <v>#N/A</v>
      </c>
      <c r="AN198" s="28" t="e">
        <f t="shared" si="121"/>
        <v>#N/A</v>
      </c>
      <c r="AO198" s="28" t="e">
        <f t="shared" si="122"/>
        <v>#N/A</v>
      </c>
      <c r="AP198" s="28" t="e">
        <f t="shared" si="123"/>
        <v>#N/A</v>
      </c>
      <c r="AQ198" s="28" t="e">
        <f t="shared" si="124"/>
        <v>#N/A</v>
      </c>
      <c r="AR198" s="28" t="e">
        <f t="shared" si="125"/>
        <v>#N/A</v>
      </c>
      <c r="AS198" s="28" t="e">
        <f t="shared" si="126"/>
        <v>#N/A</v>
      </c>
      <c r="AT198" s="28" t="e">
        <f t="shared" si="127"/>
        <v>#N/A</v>
      </c>
      <c r="AV198" s="31" t="e">
        <f>IF(O198&gt;MAX($V$4:$AE$4),MAX($V$4:$AE$4)-0.1,IF(O198&lt;MIN($V$4:$AE180),MIN($V$4:$AE$4)+0.1,O198))</f>
        <v>#DIV/0!</v>
      </c>
      <c r="AW198" s="31">
        <f t="shared" si="128"/>
        <v>0</v>
      </c>
      <c r="AX198" s="28" t="e">
        <f t="shared" si="129"/>
        <v>#DIV/0!</v>
      </c>
      <c r="AY198" s="28" t="e">
        <f t="shared" si="130"/>
        <v>#DIV/0!</v>
      </c>
      <c r="AZ198" s="28" t="e">
        <f t="shared" si="131"/>
        <v>#DIV/0!</v>
      </c>
      <c r="BA198" s="28" t="e">
        <f t="shared" si="132"/>
        <v>#DIV/0!</v>
      </c>
      <c r="BB198" s="28" t="e">
        <f t="shared" si="133"/>
        <v>#N/A</v>
      </c>
      <c r="BC198" s="28" t="e">
        <f t="shared" si="134"/>
        <v>#N/A</v>
      </c>
      <c r="BD198" s="28" t="e">
        <f t="shared" si="135"/>
        <v>#N/A</v>
      </c>
      <c r="BE198" s="28" t="e">
        <f t="shared" si="136"/>
        <v>#N/A</v>
      </c>
      <c r="BF198" s="28" t="e">
        <f t="shared" si="137"/>
        <v>#DIV/0!</v>
      </c>
      <c r="BG198" s="28" t="e">
        <f t="shared" si="138"/>
        <v>#DIV/0!</v>
      </c>
      <c r="BH198" s="28" t="e">
        <f t="shared" si="139"/>
        <v>#DIV/0!</v>
      </c>
      <c r="BI198" s="28" t="e">
        <f t="shared" si="140"/>
        <v>#DIV/0!</v>
      </c>
    </row>
    <row r="199" spans="2:61" ht="75" customHeight="1" x14ac:dyDescent="0.25">
      <c r="B199" s="17"/>
      <c r="C199" s="17"/>
      <c r="D199" s="17"/>
      <c r="E199" s="17"/>
      <c r="F199" s="17"/>
      <c r="G199" s="17"/>
      <c r="H199" s="65"/>
      <c r="I199" s="17"/>
      <c r="J199" s="17"/>
      <c r="K199" s="17"/>
      <c r="L199" s="17"/>
      <c r="M199" s="17" t="e">
        <f t="shared" si="106"/>
        <v>#DIV/0!</v>
      </c>
      <c r="N199" s="17"/>
      <c r="O199" s="17"/>
      <c r="P199" s="17"/>
      <c r="Q199" s="17"/>
      <c r="R199" s="17"/>
      <c r="S199" s="17"/>
      <c r="U199" s="17">
        <f t="shared" si="107"/>
        <v>0</v>
      </c>
      <c r="V199" s="17" t="e">
        <f t="shared" si="108"/>
        <v>#DIV/0!</v>
      </c>
      <c r="W199" s="30" t="e">
        <f t="shared" si="109"/>
        <v>#DIV/0!</v>
      </c>
      <c r="X199" s="17" t="e">
        <f t="shared" si="110"/>
        <v>#N/A</v>
      </c>
      <c r="Y199" s="17" t="e">
        <f t="shared" si="111"/>
        <v>#DIV/0!</v>
      </c>
      <c r="Z199" s="17" t="e">
        <f t="shared" si="112"/>
        <v>#N/A</v>
      </c>
      <c r="AA199" s="43" t="e">
        <f t="shared" si="113"/>
        <v>#DIV/0!</v>
      </c>
      <c r="AG199" s="31">
        <f t="shared" si="114"/>
        <v>0</v>
      </c>
      <c r="AH199" s="31">
        <f t="shared" si="115"/>
        <v>0</v>
      </c>
      <c r="AI199" s="28" t="e">
        <f t="shared" si="116"/>
        <v>#N/A</v>
      </c>
      <c r="AJ199" s="28" t="e">
        <f t="shared" si="117"/>
        <v>#N/A</v>
      </c>
      <c r="AK199" s="28" t="e">
        <f t="shared" si="118"/>
        <v>#N/A</v>
      </c>
      <c r="AL199" s="28" t="e">
        <f t="shared" si="119"/>
        <v>#N/A</v>
      </c>
      <c r="AM199" s="28" t="e">
        <f t="shared" si="120"/>
        <v>#N/A</v>
      </c>
      <c r="AN199" s="28" t="e">
        <f t="shared" si="121"/>
        <v>#N/A</v>
      </c>
      <c r="AO199" s="28" t="e">
        <f t="shared" si="122"/>
        <v>#N/A</v>
      </c>
      <c r="AP199" s="28" t="e">
        <f t="shared" si="123"/>
        <v>#N/A</v>
      </c>
      <c r="AQ199" s="28" t="e">
        <f t="shared" si="124"/>
        <v>#N/A</v>
      </c>
      <c r="AR199" s="28" t="e">
        <f t="shared" si="125"/>
        <v>#N/A</v>
      </c>
      <c r="AS199" s="28" t="e">
        <f t="shared" si="126"/>
        <v>#N/A</v>
      </c>
      <c r="AT199" s="28" t="e">
        <f t="shared" si="127"/>
        <v>#N/A</v>
      </c>
      <c r="AV199" s="31" t="e">
        <f>IF(O199&gt;MAX($V$4:$AE$4),MAX($V$4:$AE$4)-0.1,IF(O199&lt;MIN($V$4:$AE181),MIN($V$4:$AE$4)+0.1,O199))</f>
        <v>#DIV/0!</v>
      </c>
      <c r="AW199" s="31">
        <f t="shared" si="128"/>
        <v>0</v>
      </c>
      <c r="AX199" s="28" t="e">
        <f t="shared" si="129"/>
        <v>#DIV/0!</v>
      </c>
      <c r="AY199" s="28" t="e">
        <f t="shared" si="130"/>
        <v>#DIV/0!</v>
      </c>
      <c r="AZ199" s="28" t="e">
        <f t="shared" si="131"/>
        <v>#DIV/0!</v>
      </c>
      <c r="BA199" s="28" t="e">
        <f t="shared" si="132"/>
        <v>#DIV/0!</v>
      </c>
      <c r="BB199" s="28" t="e">
        <f t="shared" si="133"/>
        <v>#N/A</v>
      </c>
      <c r="BC199" s="28" t="e">
        <f t="shared" si="134"/>
        <v>#N/A</v>
      </c>
      <c r="BD199" s="28" t="e">
        <f t="shared" si="135"/>
        <v>#N/A</v>
      </c>
      <c r="BE199" s="28" t="e">
        <f t="shared" si="136"/>
        <v>#N/A</v>
      </c>
      <c r="BF199" s="28" t="e">
        <f t="shared" si="137"/>
        <v>#DIV/0!</v>
      </c>
      <c r="BG199" s="28" t="e">
        <f t="shared" si="138"/>
        <v>#DIV/0!</v>
      </c>
      <c r="BH199" s="28" t="e">
        <f t="shared" si="139"/>
        <v>#DIV/0!</v>
      </c>
      <c r="BI199" s="28" t="e">
        <f t="shared" si="140"/>
        <v>#DIV/0!</v>
      </c>
    </row>
    <row r="200" spans="2:61" ht="75" customHeight="1" x14ac:dyDescent="0.25">
      <c r="B200" s="17"/>
      <c r="C200" s="17"/>
      <c r="D200" s="17"/>
      <c r="E200" s="17"/>
      <c r="F200" s="17"/>
      <c r="G200" s="17"/>
      <c r="H200" s="65"/>
      <c r="I200" s="17"/>
      <c r="J200" s="17"/>
      <c r="K200" s="17"/>
      <c r="L200" s="17"/>
      <c r="M200" s="17" t="e">
        <f t="shared" si="106"/>
        <v>#DIV/0!</v>
      </c>
      <c r="N200" s="17"/>
      <c r="O200" s="17"/>
      <c r="P200" s="17"/>
      <c r="Q200" s="17"/>
      <c r="R200" s="17"/>
      <c r="S200" s="17"/>
      <c r="U200" s="17">
        <f t="shared" si="107"/>
        <v>0</v>
      </c>
      <c r="V200" s="17" t="e">
        <f t="shared" si="108"/>
        <v>#DIV/0!</v>
      </c>
      <c r="W200" s="30" t="e">
        <f t="shared" si="109"/>
        <v>#DIV/0!</v>
      </c>
      <c r="X200" s="17" t="e">
        <f t="shared" si="110"/>
        <v>#N/A</v>
      </c>
      <c r="Y200" s="17" t="e">
        <f t="shared" si="111"/>
        <v>#DIV/0!</v>
      </c>
      <c r="Z200" s="17" t="e">
        <f t="shared" si="112"/>
        <v>#N/A</v>
      </c>
      <c r="AA200" s="43" t="e">
        <f t="shared" si="113"/>
        <v>#DIV/0!</v>
      </c>
      <c r="AG200" s="31">
        <f t="shared" si="114"/>
        <v>0</v>
      </c>
      <c r="AH200" s="31">
        <f t="shared" si="115"/>
        <v>0</v>
      </c>
      <c r="AI200" s="28" t="e">
        <f t="shared" si="116"/>
        <v>#N/A</v>
      </c>
      <c r="AJ200" s="28" t="e">
        <f t="shared" si="117"/>
        <v>#N/A</v>
      </c>
      <c r="AK200" s="28" t="e">
        <f t="shared" si="118"/>
        <v>#N/A</v>
      </c>
      <c r="AL200" s="28" t="e">
        <f t="shared" si="119"/>
        <v>#N/A</v>
      </c>
      <c r="AM200" s="28" t="e">
        <f t="shared" si="120"/>
        <v>#N/A</v>
      </c>
      <c r="AN200" s="28" t="e">
        <f t="shared" si="121"/>
        <v>#N/A</v>
      </c>
      <c r="AO200" s="28" t="e">
        <f t="shared" si="122"/>
        <v>#N/A</v>
      </c>
      <c r="AP200" s="28" t="e">
        <f t="shared" si="123"/>
        <v>#N/A</v>
      </c>
      <c r="AQ200" s="28" t="e">
        <f t="shared" si="124"/>
        <v>#N/A</v>
      </c>
      <c r="AR200" s="28" t="e">
        <f t="shared" si="125"/>
        <v>#N/A</v>
      </c>
      <c r="AS200" s="28" t="e">
        <f t="shared" si="126"/>
        <v>#N/A</v>
      </c>
      <c r="AT200" s="28" t="e">
        <f t="shared" si="127"/>
        <v>#N/A</v>
      </c>
      <c r="AV200" s="31" t="e">
        <f>IF(O200&gt;MAX($V$4:$AE$4),MAX($V$4:$AE$4)-0.1,IF(O200&lt;MIN($V$4:$AE182),MIN($V$4:$AE$4)+0.1,O200))</f>
        <v>#DIV/0!</v>
      </c>
      <c r="AW200" s="31">
        <f t="shared" si="128"/>
        <v>0</v>
      </c>
      <c r="AX200" s="28" t="e">
        <f t="shared" si="129"/>
        <v>#DIV/0!</v>
      </c>
      <c r="AY200" s="28" t="e">
        <f t="shared" si="130"/>
        <v>#DIV/0!</v>
      </c>
      <c r="AZ200" s="28" t="e">
        <f t="shared" si="131"/>
        <v>#DIV/0!</v>
      </c>
      <c r="BA200" s="28" t="e">
        <f t="shared" si="132"/>
        <v>#DIV/0!</v>
      </c>
      <c r="BB200" s="28" t="e">
        <f t="shared" si="133"/>
        <v>#N/A</v>
      </c>
      <c r="BC200" s="28" t="e">
        <f t="shared" si="134"/>
        <v>#N/A</v>
      </c>
      <c r="BD200" s="28" t="e">
        <f t="shared" si="135"/>
        <v>#N/A</v>
      </c>
      <c r="BE200" s="28" t="e">
        <f t="shared" si="136"/>
        <v>#N/A</v>
      </c>
      <c r="BF200" s="28" t="e">
        <f t="shared" si="137"/>
        <v>#DIV/0!</v>
      </c>
      <c r="BG200" s="28" t="e">
        <f t="shared" si="138"/>
        <v>#DIV/0!</v>
      </c>
      <c r="BH200" s="28" t="e">
        <f t="shared" si="139"/>
        <v>#DIV/0!</v>
      </c>
      <c r="BI200" s="28" t="e">
        <f t="shared" si="140"/>
        <v>#DIV/0!</v>
      </c>
    </row>
  </sheetData>
  <mergeCells count="19">
    <mergeCell ref="Z19:Z21"/>
    <mergeCell ref="R20:R21"/>
    <mergeCell ref="S20:S21"/>
    <mergeCell ref="I2:S3"/>
    <mergeCell ref="U2:AE3"/>
    <mergeCell ref="Y19:Y21"/>
    <mergeCell ref="AA19:AA21"/>
    <mergeCell ref="U19:U21"/>
    <mergeCell ref="V19:V21"/>
    <mergeCell ref="W19:W21"/>
    <mergeCell ref="X19:X21"/>
    <mergeCell ref="B6:G6"/>
    <mergeCell ref="B19:E19"/>
    <mergeCell ref="B20:E20"/>
    <mergeCell ref="B8:C9"/>
    <mergeCell ref="B2:F5"/>
    <mergeCell ref="G2:G3"/>
    <mergeCell ref="G4:G5"/>
    <mergeCell ref="D8:G9"/>
  </mergeCells>
  <phoneticPr fontId="2" type="noConversion"/>
  <conditionalFormatting sqref="I8:I17">
    <cfRule type="cellIs" dxfId="7" priority="7" operator="equal">
      <formula>$H$3</formula>
    </cfRule>
    <cfRule type="cellIs" dxfId="6" priority="8" operator="equal">
      <formula>$H$2</formula>
    </cfRule>
  </conditionalFormatting>
  <conditionalFormatting sqref="J7:S7">
    <cfRule type="cellIs" dxfId="5" priority="5" operator="equal">
      <formula>$H$5</formula>
    </cfRule>
    <cfRule type="cellIs" dxfId="4" priority="6" operator="equal">
      <formula>$H$4</formula>
    </cfRule>
  </conditionalFormatting>
  <conditionalFormatting sqref="U8:U17">
    <cfRule type="cellIs" dxfId="3" priority="3" operator="equal">
      <formula>$H$7</formula>
    </cfRule>
    <cfRule type="cellIs" dxfId="2" priority="4" operator="equal">
      <formula>$H$6</formula>
    </cfRule>
  </conditionalFormatting>
  <conditionalFormatting sqref="V7:AE7">
    <cfRule type="cellIs" dxfId="1" priority="1" operator="equal">
      <formula>$H$9</formula>
    </cfRule>
    <cfRule type="cellIs" dxfId="0" priority="2" operator="equal">
      <formula>$H$8</formula>
    </cfRule>
  </conditionalFormatting>
  <pageMargins left="0.7" right="0.7" top="0.75" bottom="0.75" header="0.3" footer="0.3"/>
  <pageSetup paperSize="9" orientation="portrait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8" tint="-0.249977111117893"/>
  </sheetPr>
  <dimension ref="B2:U202"/>
  <sheetViews>
    <sheetView workbookViewId="0">
      <pane ySplit="2" topLeftCell="A3" activePane="bottomLeft" state="frozen"/>
      <selection pane="bottomLeft" activeCell="E131" sqref="E131"/>
    </sheetView>
  </sheetViews>
  <sheetFormatPr defaultRowHeight="16.5" x14ac:dyDescent="0.25"/>
  <cols>
    <col min="1" max="1" width="3.85546875" style="36" customWidth="1"/>
    <col min="2" max="4" width="14.28515625" style="38" customWidth="1"/>
    <col min="5" max="5" width="14.28515625" style="35" customWidth="1"/>
    <col min="6" max="6" width="3.85546875" style="35" customWidth="1"/>
    <col min="7" max="12" width="9.140625" style="35" customWidth="1"/>
    <col min="13" max="13" width="3.85546875" style="36" customWidth="1"/>
    <col min="14" max="14" width="10.28515625" style="39" customWidth="1"/>
    <col min="15" max="16" width="10.28515625" style="38" customWidth="1"/>
    <col min="17" max="21" width="9.140625" style="35" customWidth="1"/>
    <col min="22" max="23" width="9.140625" style="36" customWidth="1"/>
    <col min="24" max="16384" width="9.140625" style="36"/>
  </cols>
  <sheetData>
    <row r="2" spans="2:21" x14ac:dyDescent="0.25">
      <c r="B2" s="33" t="s">
        <v>51</v>
      </c>
      <c r="C2" s="33" t="s">
        <v>52</v>
      </c>
      <c r="D2" s="33" t="s">
        <v>53</v>
      </c>
      <c r="E2" s="34" t="s">
        <v>54</v>
      </c>
      <c r="G2" s="34" t="s">
        <v>55</v>
      </c>
      <c r="H2" s="34" t="s">
        <v>56</v>
      </c>
      <c r="I2" s="34" t="s">
        <v>57</v>
      </c>
      <c r="J2" s="34" t="s">
        <v>58</v>
      </c>
      <c r="K2" s="34" t="s">
        <v>3</v>
      </c>
      <c r="L2" s="34" t="s">
        <v>59</v>
      </c>
      <c r="N2" s="37"/>
      <c r="O2" s="33"/>
      <c r="Q2" s="34"/>
      <c r="R2" s="34"/>
      <c r="S2" s="34"/>
      <c r="T2" s="34"/>
      <c r="U2" s="34"/>
    </row>
    <row r="3" spans="2:21" x14ac:dyDescent="0.25">
      <c r="B3" s="38">
        <f t="shared" ref="B3:B34" si="0">VALUE(MID(N3,6,SEARCH(",",N3,1)-6))</f>
        <v>32</v>
      </c>
      <c r="C3" s="38">
        <f t="shared" ref="C3:C34" si="1">VALUE(MID($N3,FIND("*",SUBSTITUTE($N3,",","*",1),1)+1,FIND("*",SUBSTITUTE($N3,",","*",2),1)-FIND("*",SUBSTITUTE($N3,",","*",1),1)-1))</f>
        <v>1280</v>
      </c>
      <c r="D3" s="38">
        <f t="shared" ref="D3:D34" si="2">VALUE(MID($N3,FIND("*",SUBSTITUTE($N3,",","*",2),1)+1,FIND("*",SUBSTITUTE($N3,",","*",3),1)-FIND("*",SUBSTITUTE($N3,",","*",2),1)-1))</f>
        <v>1049</v>
      </c>
      <c r="E3" s="35">
        <f t="shared" ref="E3:E34" si="3">((C3/1024)*(D3/1024))</f>
        <v>1.280517578125</v>
      </c>
      <c r="G3" s="35">
        <f t="shared" ref="G3:G34" si="4">-LOG(B3*0.000001,2)</f>
        <v>14.931568569324176</v>
      </c>
      <c r="H3" s="35">
        <f t="shared" ref="H3:H34" si="5">B3*0.000001*3198/0.033333</f>
        <v>3.0701107011070108</v>
      </c>
      <c r="I3" s="35">
        <v>1.7</v>
      </c>
      <c r="J3" s="35">
        <f t="shared" ref="J3:J34" si="6">LOG((C3/1024)*(D3/1024)*100/3.125,2)</f>
        <v>5.3567270574646297</v>
      </c>
      <c r="K3" s="35">
        <f t="shared" ref="K3:K34" si="7">I3+G3-J3</f>
        <v>11.274841511859547</v>
      </c>
      <c r="L3" s="35">
        <f t="shared" ref="L3:L34" si="8">K4-K3</f>
        <v>-3.5590365314133621E-2</v>
      </c>
      <c r="N3" s="39" t="s">
        <v>60</v>
      </c>
    </row>
    <row r="4" spans="2:21" x14ac:dyDescent="0.25">
      <c r="B4" s="38">
        <f t="shared" si="0"/>
        <v>42</v>
      </c>
      <c r="C4" s="38">
        <f t="shared" si="1"/>
        <v>1024</v>
      </c>
      <c r="D4" s="38">
        <f t="shared" si="2"/>
        <v>1024</v>
      </c>
      <c r="E4" s="35">
        <f t="shared" si="3"/>
        <v>1</v>
      </c>
      <c r="G4" s="35">
        <f t="shared" si="4"/>
        <v>14.539251146545414</v>
      </c>
      <c r="H4" s="35">
        <f t="shared" si="5"/>
        <v>4.0295202952029516</v>
      </c>
      <c r="I4" s="35">
        <v>1.7</v>
      </c>
      <c r="J4" s="35">
        <f t="shared" si="6"/>
        <v>5</v>
      </c>
      <c r="K4" s="35">
        <f t="shared" si="7"/>
        <v>11.239251146545413</v>
      </c>
      <c r="L4" s="35">
        <f t="shared" si="8"/>
        <v>-9.8032082960527234E-2</v>
      </c>
      <c r="N4" s="39" t="s">
        <v>61</v>
      </c>
    </row>
    <row r="5" spans="2:21" x14ac:dyDescent="0.25">
      <c r="B5" s="38">
        <f t="shared" si="0"/>
        <v>42</v>
      </c>
      <c r="C5" s="38">
        <f t="shared" si="1"/>
        <v>1024</v>
      </c>
      <c r="D5" s="38">
        <f t="shared" si="2"/>
        <v>1096</v>
      </c>
      <c r="E5" s="35">
        <f t="shared" si="3"/>
        <v>1.0703125</v>
      </c>
      <c r="G5" s="35">
        <f t="shared" si="4"/>
        <v>14.539251146545414</v>
      </c>
      <c r="H5" s="35">
        <f t="shared" si="5"/>
        <v>4.0295202952029516</v>
      </c>
      <c r="I5" s="35">
        <v>1.7</v>
      </c>
      <c r="J5" s="35">
        <f t="shared" si="6"/>
        <v>5.0980320829605272</v>
      </c>
      <c r="K5" s="35">
        <f t="shared" si="7"/>
        <v>11.141219063584886</v>
      </c>
      <c r="L5" s="35">
        <f t="shared" si="8"/>
        <v>-9.1483646839664701E-2</v>
      </c>
      <c r="N5" s="39" t="s">
        <v>62</v>
      </c>
    </row>
    <row r="6" spans="2:21" x14ac:dyDescent="0.25">
      <c r="B6" s="38">
        <f t="shared" si="0"/>
        <v>42</v>
      </c>
      <c r="C6" s="38">
        <f t="shared" si="1"/>
        <v>1152</v>
      </c>
      <c r="D6" s="38">
        <f t="shared" si="2"/>
        <v>1038</v>
      </c>
      <c r="E6" s="35">
        <f t="shared" si="3"/>
        <v>1.140380859375</v>
      </c>
      <c r="G6" s="35">
        <f t="shared" si="4"/>
        <v>14.539251146545414</v>
      </c>
      <c r="H6" s="35">
        <f t="shared" si="5"/>
        <v>4.0295202952029516</v>
      </c>
      <c r="I6" s="35">
        <v>1.7</v>
      </c>
      <c r="J6" s="35">
        <f t="shared" si="6"/>
        <v>5.1895157298001928</v>
      </c>
      <c r="K6" s="35">
        <f t="shared" si="7"/>
        <v>11.049735416745222</v>
      </c>
      <c r="L6" s="35">
        <f t="shared" si="8"/>
        <v>-0.11355148404272164</v>
      </c>
      <c r="N6" s="39" t="s">
        <v>63</v>
      </c>
    </row>
    <row r="7" spans="2:21" x14ac:dyDescent="0.25">
      <c r="B7" s="38">
        <f t="shared" si="0"/>
        <v>42</v>
      </c>
      <c r="C7" s="38">
        <f t="shared" si="1"/>
        <v>1152</v>
      </c>
      <c r="D7" s="38">
        <f t="shared" si="2"/>
        <v>1123</v>
      </c>
      <c r="E7" s="35">
        <f t="shared" si="3"/>
        <v>1.2337646484375</v>
      </c>
      <c r="G7" s="35">
        <f t="shared" si="4"/>
        <v>14.539251146545414</v>
      </c>
      <c r="H7" s="35">
        <f t="shared" si="5"/>
        <v>4.0295202952029516</v>
      </c>
      <c r="I7" s="35">
        <v>1.7</v>
      </c>
      <c r="J7" s="35">
        <f t="shared" si="6"/>
        <v>5.3030672138429136</v>
      </c>
      <c r="K7" s="35">
        <f t="shared" si="7"/>
        <v>10.9361839327025</v>
      </c>
      <c r="L7" s="35">
        <f t="shared" si="8"/>
        <v>-8.7818253442714322E-2</v>
      </c>
      <c r="N7" s="39" t="s">
        <v>64</v>
      </c>
    </row>
    <row r="8" spans="2:21" x14ac:dyDescent="0.25">
      <c r="B8" s="38">
        <f t="shared" si="0"/>
        <v>53</v>
      </c>
      <c r="C8" s="38">
        <f t="shared" si="1"/>
        <v>1024</v>
      </c>
      <c r="D8" s="38">
        <f t="shared" si="2"/>
        <v>1064</v>
      </c>
      <c r="E8" s="35">
        <f t="shared" si="3"/>
        <v>1.0390625</v>
      </c>
      <c r="G8" s="35">
        <f t="shared" si="4"/>
        <v>14.203648114760977</v>
      </c>
      <c r="H8" s="35">
        <f t="shared" si="5"/>
        <v>5.084870848708487</v>
      </c>
      <c r="I8" s="35">
        <v>1.7</v>
      </c>
      <c r="J8" s="35">
        <f t="shared" si="6"/>
        <v>5.0552824355011898</v>
      </c>
      <c r="K8" s="35">
        <f t="shared" si="7"/>
        <v>10.848365679259786</v>
      </c>
      <c r="L8" s="35">
        <f t="shared" si="8"/>
        <v>-9.4464684003490618E-2</v>
      </c>
      <c r="N8" s="39" t="s">
        <v>65</v>
      </c>
    </row>
    <row r="9" spans="2:21" x14ac:dyDescent="0.25">
      <c r="B9" s="38">
        <f t="shared" si="0"/>
        <v>53</v>
      </c>
      <c r="C9" s="38">
        <f t="shared" si="1"/>
        <v>1024</v>
      </c>
      <c r="D9" s="38">
        <f t="shared" si="2"/>
        <v>1136</v>
      </c>
      <c r="E9" s="35">
        <f t="shared" si="3"/>
        <v>1.109375</v>
      </c>
      <c r="G9" s="35">
        <f t="shared" si="4"/>
        <v>14.203648114760977</v>
      </c>
      <c r="H9" s="35">
        <f t="shared" si="5"/>
        <v>5.084870848708487</v>
      </c>
      <c r="I9" s="35">
        <v>1.7</v>
      </c>
      <c r="J9" s="35">
        <f t="shared" si="6"/>
        <v>5.1497471195046822</v>
      </c>
      <c r="K9" s="35">
        <f t="shared" si="7"/>
        <v>10.753900995256295</v>
      </c>
      <c r="L9" s="35">
        <f t="shared" si="8"/>
        <v>-0.14400646879049006</v>
      </c>
      <c r="N9" s="39" t="s">
        <v>66</v>
      </c>
    </row>
    <row r="10" spans="2:21" x14ac:dyDescent="0.25">
      <c r="B10" s="38">
        <f t="shared" si="0"/>
        <v>63</v>
      </c>
      <c r="C10" s="38">
        <f t="shared" si="1"/>
        <v>1024</v>
      </c>
      <c r="D10" s="38">
        <f t="shared" si="2"/>
        <v>1056</v>
      </c>
      <c r="E10" s="35">
        <f t="shared" si="3"/>
        <v>1.03125</v>
      </c>
      <c r="G10" s="35">
        <f t="shared" si="4"/>
        <v>13.954288645824258</v>
      </c>
      <c r="H10" s="35">
        <f t="shared" si="5"/>
        <v>6.0442804428044274</v>
      </c>
      <c r="I10" s="35">
        <v>1.7</v>
      </c>
      <c r="J10" s="35">
        <f t="shared" si="6"/>
        <v>5.0443941193584534</v>
      </c>
      <c r="K10" s="35">
        <f t="shared" si="7"/>
        <v>10.609894526465805</v>
      </c>
      <c r="L10" s="35">
        <f t="shared" si="8"/>
        <v>-8.4888897586512968E-2</v>
      </c>
      <c r="N10" s="39" t="s">
        <v>67</v>
      </c>
    </row>
    <row r="11" spans="2:21" x14ac:dyDescent="0.25">
      <c r="B11" s="38">
        <f t="shared" si="0"/>
        <v>63</v>
      </c>
      <c r="C11" s="38">
        <f t="shared" si="1"/>
        <v>1024</v>
      </c>
      <c r="D11" s="38">
        <f t="shared" si="2"/>
        <v>1120</v>
      </c>
      <c r="E11" s="35">
        <f t="shared" si="3"/>
        <v>1.09375</v>
      </c>
      <c r="G11" s="35">
        <f t="shared" si="4"/>
        <v>13.954288645824258</v>
      </c>
      <c r="H11" s="35">
        <f t="shared" si="5"/>
        <v>6.0442804428044274</v>
      </c>
      <c r="I11" s="35">
        <v>1.7</v>
      </c>
      <c r="J11" s="35">
        <f t="shared" si="6"/>
        <v>5.1292830169449664</v>
      </c>
      <c r="K11" s="35">
        <f t="shared" si="7"/>
        <v>10.525005628879292</v>
      </c>
      <c r="L11" s="35">
        <f t="shared" si="8"/>
        <v>-8.3261618435136242E-2</v>
      </c>
      <c r="N11" s="39" t="s">
        <v>68</v>
      </c>
    </row>
    <row r="12" spans="2:21" x14ac:dyDescent="0.25">
      <c r="B12" s="38">
        <f t="shared" si="0"/>
        <v>73</v>
      </c>
      <c r="C12" s="38">
        <f t="shared" si="1"/>
        <v>1024</v>
      </c>
      <c r="D12" s="38">
        <f t="shared" si="2"/>
        <v>1024</v>
      </c>
      <c r="E12" s="35">
        <f t="shared" si="3"/>
        <v>1</v>
      </c>
      <c r="G12" s="35">
        <f t="shared" si="4"/>
        <v>13.741744010444156</v>
      </c>
      <c r="H12" s="35">
        <f t="shared" si="5"/>
        <v>7.0036900369003687</v>
      </c>
      <c r="I12" s="35">
        <v>1.7</v>
      </c>
      <c r="J12" s="35">
        <f t="shared" si="6"/>
        <v>5</v>
      </c>
      <c r="K12" s="35">
        <f t="shared" si="7"/>
        <v>10.441744010444156</v>
      </c>
      <c r="L12" s="35">
        <f t="shared" si="8"/>
        <v>-0.11894107272350674</v>
      </c>
      <c r="N12" s="39" t="s">
        <v>69</v>
      </c>
    </row>
    <row r="13" spans="2:21" x14ac:dyDescent="0.25">
      <c r="B13" s="38">
        <f t="shared" si="0"/>
        <v>73</v>
      </c>
      <c r="C13" s="38">
        <f t="shared" si="1"/>
        <v>1024</v>
      </c>
      <c r="D13" s="38">
        <f t="shared" si="2"/>
        <v>1112</v>
      </c>
      <c r="E13" s="35">
        <f t="shared" si="3"/>
        <v>1.0859375</v>
      </c>
      <c r="G13" s="35">
        <f t="shared" si="4"/>
        <v>13.741744010444156</v>
      </c>
      <c r="H13" s="35">
        <f t="shared" si="5"/>
        <v>7.0036900369003687</v>
      </c>
      <c r="I13" s="35">
        <v>1.7</v>
      </c>
      <c r="J13" s="35">
        <f t="shared" si="6"/>
        <v>5.1189410727235076</v>
      </c>
      <c r="K13" s="35">
        <f t="shared" si="7"/>
        <v>10.322802937720649</v>
      </c>
      <c r="L13" s="35">
        <f t="shared" si="8"/>
        <v>-7.0574657076686975E-2</v>
      </c>
      <c r="N13" s="39" t="s">
        <v>70</v>
      </c>
    </row>
    <row r="14" spans="2:21" x14ac:dyDescent="0.25">
      <c r="B14" s="38">
        <f t="shared" si="0"/>
        <v>73</v>
      </c>
      <c r="C14" s="38">
        <f t="shared" si="1"/>
        <v>1152</v>
      </c>
      <c r="D14" s="38">
        <f t="shared" si="2"/>
        <v>1038</v>
      </c>
      <c r="E14" s="35">
        <f t="shared" si="3"/>
        <v>1.140380859375</v>
      </c>
      <c r="G14" s="35">
        <f t="shared" si="4"/>
        <v>13.741744010444156</v>
      </c>
      <c r="H14" s="35">
        <f t="shared" si="5"/>
        <v>7.0036900369003687</v>
      </c>
      <c r="I14" s="35">
        <v>1.7</v>
      </c>
      <c r="J14" s="35">
        <f t="shared" si="6"/>
        <v>5.1895157298001928</v>
      </c>
      <c r="K14" s="35">
        <f t="shared" si="7"/>
        <v>10.252228280643962</v>
      </c>
      <c r="L14" s="35">
        <f t="shared" si="8"/>
        <v>-0.11100921705907574</v>
      </c>
      <c r="N14" s="39" t="s">
        <v>71</v>
      </c>
    </row>
    <row r="15" spans="2:21" x14ac:dyDescent="0.25">
      <c r="B15" s="38">
        <f t="shared" si="0"/>
        <v>84</v>
      </c>
      <c r="C15" s="38">
        <f t="shared" si="1"/>
        <v>1024</v>
      </c>
      <c r="D15" s="38">
        <f t="shared" si="2"/>
        <v>1096</v>
      </c>
      <c r="E15" s="35">
        <f t="shared" si="3"/>
        <v>1.0703125</v>
      </c>
      <c r="G15" s="35">
        <f t="shared" si="4"/>
        <v>13.539251146545414</v>
      </c>
      <c r="H15" s="35">
        <f t="shared" si="5"/>
        <v>8.0590405904059033</v>
      </c>
      <c r="I15" s="35">
        <v>1.7</v>
      </c>
      <c r="J15" s="35">
        <f t="shared" si="6"/>
        <v>5.0980320829605272</v>
      </c>
      <c r="K15" s="35">
        <f t="shared" si="7"/>
        <v>10.141219063584886</v>
      </c>
      <c r="L15" s="35">
        <f t="shared" si="8"/>
        <v>-9.7662347475798938E-2</v>
      </c>
      <c r="N15" s="39" t="s">
        <v>72</v>
      </c>
    </row>
    <row r="16" spans="2:21" x14ac:dyDescent="0.25">
      <c r="B16" s="38">
        <f t="shared" si="0"/>
        <v>94</v>
      </c>
      <c r="C16" s="38">
        <f t="shared" si="1"/>
        <v>1024</v>
      </c>
      <c r="D16" s="38">
        <f t="shared" si="2"/>
        <v>1048</v>
      </c>
      <c r="E16" s="35">
        <f t="shared" si="3"/>
        <v>1.0234375</v>
      </c>
      <c r="G16" s="35">
        <f t="shared" si="4"/>
        <v>13.376979717646538</v>
      </c>
      <c r="H16" s="35">
        <f t="shared" si="5"/>
        <v>9.0184501845018445</v>
      </c>
      <c r="I16" s="35">
        <v>1.7</v>
      </c>
      <c r="J16" s="35">
        <f t="shared" si="6"/>
        <v>5.0334230015374501</v>
      </c>
      <c r="K16" s="35">
        <f t="shared" si="7"/>
        <v>10.043556716109087</v>
      </c>
      <c r="L16" s="35">
        <f t="shared" si="8"/>
        <v>-0.12623366445103557</v>
      </c>
      <c r="N16" s="39" t="s">
        <v>73</v>
      </c>
    </row>
    <row r="17" spans="2:14" x14ac:dyDescent="0.25">
      <c r="B17" s="38">
        <f t="shared" si="0"/>
        <v>105</v>
      </c>
      <c r="C17" s="38">
        <f t="shared" si="1"/>
        <v>1024</v>
      </c>
      <c r="D17" s="38">
        <f t="shared" si="2"/>
        <v>1024</v>
      </c>
      <c r="E17" s="35">
        <f t="shared" si="3"/>
        <v>1</v>
      </c>
      <c r="G17" s="35">
        <f t="shared" si="4"/>
        <v>13.217323051658052</v>
      </c>
      <c r="H17" s="35">
        <f t="shared" si="5"/>
        <v>10.073800738007378</v>
      </c>
      <c r="I17" s="35">
        <v>1.7</v>
      </c>
      <c r="J17" s="35">
        <f t="shared" si="6"/>
        <v>5</v>
      </c>
      <c r="K17" s="35">
        <f t="shared" si="7"/>
        <v>9.9173230516580517</v>
      </c>
      <c r="L17" s="35">
        <f t="shared" si="8"/>
        <v>-7.6815597050831741E-2</v>
      </c>
      <c r="N17" s="39" t="s">
        <v>74</v>
      </c>
    </row>
    <row r="18" spans="2:14" x14ac:dyDescent="0.25">
      <c r="B18" s="38">
        <f t="shared" si="0"/>
        <v>105</v>
      </c>
      <c r="C18" s="38">
        <f t="shared" si="1"/>
        <v>1024</v>
      </c>
      <c r="D18" s="38">
        <f t="shared" si="2"/>
        <v>1080</v>
      </c>
      <c r="E18" s="35">
        <f t="shared" si="3"/>
        <v>1.0546875</v>
      </c>
      <c r="G18" s="35">
        <f t="shared" si="4"/>
        <v>13.217323051658052</v>
      </c>
      <c r="H18" s="35">
        <f t="shared" si="5"/>
        <v>10.073800738007378</v>
      </c>
      <c r="I18" s="35">
        <v>1.7</v>
      </c>
      <c r="J18" s="35">
        <f t="shared" si="6"/>
        <v>5.0768155970508309</v>
      </c>
      <c r="K18" s="35">
        <f t="shared" si="7"/>
        <v>9.84050745460722</v>
      </c>
      <c r="L18" s="35">
        <f t="shared" si="8"/>
        <v>-8.7851937764870769E-2</v>
      </c>
      <c r="N18" s="39" t="s">
        <v>75</v>
      </c>
    </row>
    <row r="19" spans="2:14" x14ac:dyDescent="0.25">
      <c r="B19" s="38">
        <f t="shared" si="0"/>
        <v>115</v>
      </c>
      <c r="C19" s="38">
        <f t="shared" si="1"/>
        <v>1024</v>
      </c>
      <c r="D19" s="38">
        <f t="shared" si="2"/>
        <v>1048</v>
      </c>
      <c r="E19" s="35">
        <f t="shared" si="3"/>
        <v>1.0234375</v>
      </c>
      <c r="G19" s="35">
        <f t="shared" si="4"/>
        <v>13.0860785183798</v>
      </c>
      <c r="H19" s="35">
        <f t="shared" si="5"/>
        <v>11.033210332103319</v>
      </c>
      <c r="I19" s="35">
        <v>1.7</v>
      </c>
      <c r="J19" s="35">
        <f t="shared" si="6"/>
        <v>5.0334230015374501</v>
      </c>
      <c r="K19" s="35">
        <f t="shared" si="7"/>
        <v>9.7526555168423492</v>
      </c>
      <c r="L19" s="35">
        <f t="shared" si="8"/>
        <v>-0.14276099037654433</v>
      </c>
      <c r="N19" s="39" t="s">
        <v>76</v>
      </c>
    </row>
    <row r="20" spans="2:14" x14ac:dyDescent="0.25">
      <c r="B20" s="38">
        <f t="shared" si="0"/>
        <v>126</v>
      </c>
      <c r="C20" s="38">
        <f t="shared" si="1"/>
        <v>1024</v>
      </c>
      <c r="D20" s="38">
        <f t="shared" si="2"/>
        <v>1056</v>
      </c>
      <c r="E20" s="35">
        <f t="shared" si="3"/>
        <v>1.03125</v>
      </c>
      <c r="G20" s="35">
        <f t="shared" si="4"/>
        <v>12.954288645824258</v>
      </c>
      <c r="H20" s="35">
        <f t="shared" si="5"/>
        <v>12.088560885608855</v>
      </c>
      <c r="I20" s="35">
        <v>1.7</v>
      </c>
      <c r="J20" s="35">
        <f t="shared" si="6"/>
        <v>5.0443941193584534</v>
      </c>
      <c r="K20" s="35">
        <f t="shared" si="7"/>
        <v>9.6098945264658049</v>
      </c>
      <c r="L20" s="35">
        <f t="shared" si="8"/>
        <v>-8.8156611420425079E-2</v>
      </c>
      <c r="N20" s="39" t="s">
        <v>77</v>
      </c>
    </row>
    <row r="21" spans="2:14" x14ac:dyDescent="0.25">
      <c r="B21" s="38">
        <f t="shared" si="0"/>
        <v>136</v>
      </c>
      <c r="C21" s="38">
        <f t="shared" si="1"/>
        <v>1024</v>
      </c>
      <c r="D21" s="38">
        <f t="shared" si="2"/>
        <v>1040</v>
      </c>
      <c r="E21" s="35">
        <f t="shared" si="3"/>
        <v>1.015625</v>
      </c>
      <c r="G21" s="35">
        <f t="shared" si="4"/>
        <v>12.844105728073835</v>
      </c>
      <c r="H21" s="35">
        <f t="shared" si="5"/>
        <v>13.047970479704796</v>
      </c>
      <c r="I21" s="35">
        <v>1.7</v>
      </c>
      <c r="J21" s="35">
        <f t="shared" si="6"/>
        <v>5.0223678130284544</v>
      </c>
      <c r="K21" s="35">
        <f t="shared" si="7"/>
        <v>9.5217379150453798</v>
      </c>
      <c r="L21" s="35">
        <f t="shared" si="8"/>
        <v>-9.1221160024479886E-2</v>
      </c>
      <c r="N21" s="39" t="s">
        <v>78</v>
      </c>
    </row>
    <row r="22" spans="2:14" x14ac:dyDescent="0.25">
      <c r="B22" s="38">
        <f t="shared" si="0"/>
        <v>146</v>
      </c>
      <c r="C22" s="38">
        <f t="shared" si="1"/>
        <v>1024</v>
      </c>
      <c r="D22" s="38">
        <f t="shared" si="2"/>
        <v>1032</v>
      </c>
      <c r="E22" s="35">
        <f t="shared" si="3"/>
        <v>1.0078125</v>
      </c>
      <c r="G22" s="35">
        <f t="shared" si="4"/>
        <v>12.741744010444156</v>
      </c>
      <c r="H22" s="35">
        <f t="shared" si="5"/>
        <v>14.007380073800737</v>
      </c>
      <c r="I22" s="35">
        <v>1.7</v>
      </c>
      <c r="J22" s="35">
        <f t="shared" si="6"/>
        <v>5.0112272554232549</v>
      </c>
      <c r="K22" s="35">
        <f t="shared" si="7"/>
        <v>9.4305167550208999</v>
      </c>
      <c r="L22" s="35">
        <f t="shared" si="8"/>
        <v>-0.11593674761680717</v>
      </c>
      <c r="N22" s="39" t="s">
        <v>79</v>
      </c>
    </row>
    <row r="23" spans="2:14" x14ac:dyDescent="0.25">
      <c r="B23" s="38">
        <f t="shared" si="0"/>
        <v>157</v>
      </c>
      <c r="C23" s="38">
        <f t="shared" si="1"/>
        <v>1024</v>
      </c>
      <c r="D23" s="38">
        <f t="shared" si="2"/>
        <v>1040</v>
      </c>
      <c r="E23" s="35">
        <f t="shared" si="3"/>
        <v>1.015625</v>
      </c>
      <c r="G23" s="35">
        <f t="shared" si="4"/>
        <v>12.636947820432548</v>
      </c>
      <c r="H23" s="35">
        <f t="shared" si="5"/>
        <v>15.062730627306273</v>
      </c>
      <c r="I23" s="35">
        <v>1.7</v>
      </c>
      <c r="J23" s="35">
        <f t="shared" si="6"/>
        <v>5.0223678130284544</v>
      </c>
      <c r="K23" s="35">
        <f t="shared" si="7"/>
        <v>9.3145800074040928</v>
      </c>
      <c r="L23" s="35">
        <f t="shared" si="8"/>
        <v>-0.10013873209142155</v>
      </c>
      <c r="N23" s="39" t="s">
        <v>80</v>
      </c>
    </row>
    <row r="24" spans="2:14" x14ac:dyDescent="0.25">
      <c r="B24" s="38">
        <f t="shared" si="0"/>
        <v>167</v>
      </c>
      <c r="C24" s="38">
        <f t="shared" si="1"/>
        <v>1024</v>
      </c>
      <c r="D24" s="38">
        <f t="shared" si="2"/>
        <v>1048</v>
      </c>
      <c r="E24" s="35">
        <f t="shared" si="3"/>
        <v>1.0234375</v>
      </c>
      <c r="G24" s="35">
        <f t="shared" si="4"/>
        <v>12.547864276850122</v>
      </c>
      <c r="H24" s="35">
        <f t="shared" si="5"/>
        <v>16.022140221402211</v>
      </c>
      <c r="I24" s="35">
        <v>1.7</v>
      </c>
      <c r="J24" s="35">
        <f t="shared" si="6"/>
        <v>5.0334230015374501</v>
      </c>
      <c r="K24" s="35">
        <f t="shared" si="7"/>
        <v>9.2144412753126712</v>
      </c>
      <c r="L24" s="35">
        <f t="shared" si="8"/>
        <v>-0.11388857245608541</v>
      </c>
      <c r="N24" s="39" t="s">
        <v>81</v>
      </c>
    </row>
    <row r="25" spans="2:14" x14ac:dyDescent="0.25">
      <c r="B25" s="38">
        <f t="shared" si="0"/>
        <v>178</v>
      </c>
      <c r="C25" s="38">
        <f t="shared" si="1"/>
        <v>1024</v>
      </c>
      <c r="D25" s="38">
        <f t="shared" si="2"/>
        <v>1064</v>
      </c>
      <c r="E25" s="35">
        <f t="shared" si="3"/>
        <v>1.0390625</v>
      </c>
      <c r="G25" s="35">
        <f t="shared" si="4"/>
        <v>12.455835138357775</v>
      </c>
      <c r="H25" s="35">
        <f t="shared" si="5"/>
        <v>17.077490774907748</v>
      </c>
      <c r="I25" s="35">
        <v>1.7</v>
      </c>
      <c r="J25" s="35">
        <f t="shared" si="6"/>
        <v>5.0552824355011898</v>
      </c>
      <c r="K25" s="35">
        <f t="shared" si="7"/>
        <v>9.1005527028565858</v>
      </c>
      <c r="L25" s="35">
        <f t="shared" si="8"/>
        <v>-5.6995986747498506E-2</v>
      </c>
      <c r="N25" s="39" t="s">
        <v>82</v>
      </c>
    </row>
    <row r="26" spans="2:14" x14ac:dyDescent="0.25">
      <c r="B26" s="38">
        <f t="shared" si="0"/>
        <v>188</v>
      </c>
      <c r="C26" s="38">
        <f t="shared" si="1"/>
        <v>1024</v>
      </c>
      <c r="D26" s="38">
        <f t="shared" si="2"/>
        <v>1048</v>
      </c>
      <c r="E26" s="35">
        <f t="shared" si="3"/>
        <v>1.0234375</v>
      </c>
      <c r="G26" s="35">
        <f t="shared" si="4"/>
        <v>12.376979717646538</v>
      </c>
      <c r="H26" s="35">
        <f t="shared" si="5"/>
        <v>18.036900369003689</v>
      </c>
      <c r="I26" s="35">
        <v>1.7</v>
      </c>
      <c r="J26" s="35">
        <f t="shared" si="6"/>
        <v>5.0334230015374501</v>
      </c>
      <c r="K26" s="35">
        <f t="shared" si="7"/>
        <v>9.0435567161090873</v>
      </c>
      <c r="L26" s="35">
        <f t="shared" si="8"/>
        <v>-9.3006886687017953E-2</v>
      </c>
      <c r="N26" s="39" t="s">
        <v>83</v>
      </c>
    </row>
    <row r="27" spans="2:14" x14ac:dyDescent="0.25">
      <c r="B27" s="38">
        <f t="shared" si="0"/>
        <v>199</v>
      </c>
      <c r="C27" s="38">
        <f t="shared" si="1"/>
        <v>1024</v>
      </c>
      <c r="D27" s="38">
        <f t="shared" si="2"/>
        <v>1056</v>
      </c>
      <c r="E27" s="35">
        <f t="shared" si="3"/>
        <v>1.03125</v>
      </c>
      <c r="G27" s="35">
        <f t="shared" si="4"/>
        <v>12.294943948780524</v>
      </c>
      <c r="H27" s="35">
        <f t="shared" si="5"/>
        <v>19.092250922509223</v>
      </c>
      <c r="I27" s="35">
        <v>1.7</v>
      </c>
      <c r="J27" s="35">
        <f t="shared" si="6"/>
        <v>5.0443941193584534</v>
      </c>
      <c r="K27" s="35">
        <f t="shared" si="7"/>
        <v>8.9505498294220693</v>
      </c>
      <c r="L27" s="35">
        <f t="shared" si="8"/>
        <v>-0.10499557512232371</v>
      </c>
      <c r="N27" s="39" t="s">
        <v>84</v>
      </c>
    </row>
    <row r="28" spans="2:14" x14ac:dyDescent="0.25">
      <c r="B28" s="38">
        <f t="shared" si="0"/>
        <v>219</v>
      </c>
      <c r="C28" s="38">
        <f t="shared" si="1"/>
        <v>1024</v>
      </c>
      <c r="D28" s="38">
        <f t="shared" si="2"/>
        <v>1032</v>
      </c>
      <c r="E28" s="35">
        <f t="shared" si="3"/>
        <v>1.0078125</v>
      </c>
      <c r="G28" s="35">
        <f t="shared" si="4"/>
        <v>12.156781509723002</v>
      </c>
      <c r="H28" s="35">
        <f t="shared" si="5"/>
        <v>21.011070110701105</v>
      </c>
      <c r="I28" s="35">
        <v>1.7</v>
      </c>
      <c r="J28" s="35">
        <f t="shared" si="6"/>
        <v>5.0112272554232549</v>
      </c>
      <c r="K28" s="35">
        <f t="shared" si="7"/>
        <v>8.8455542542997456</v>
      </c>
      <c r="L28" s="35">
        <f t="shared" si="8"/>
        <v>-9.2898737457396408E-2</v>
      </c>
      <c r="N28" s="39" t="s">
        <v>85</v>
      </c>
    </row>
    <row r="29" spans="2:14" x14ac:dyDescent="0.25">
      <c r="B29" s="38">
        <f t="shared" si="0"/>
        <v>230</v>
      </c>
      <c r="C29" s="38">
        <f t="shared" si="1"/>
        <v>1024</v>
      </c>
      <c r="D29" s="38">
        <f t="shared" si="2"/>
        <v>1048</v>
      </c>
      <c r="E29" s="35">
        <f t="shared" si="3"/>
        <v>1.0234375</v>
      </c>
      <c r="G29" s="35">
        <f t="shared" si="4"/>
        <v>12.0860785183798</v>
      </c>
      <c r="H29" s="35">
        <f t="shared" si="5"/>
        <v>22.066420664206639</v>
      </c>
      <c r="I29" s="35">
        <v>1.7</v>
      </c>
      <c r="J29" s="35">
        <f t="shared" si="6"/>
        <v>5.0334230015374501</v>
      </c>
      <c r="K29" s="35">
        <f t="shared" si="7"/>
        <v>8.7526555168423492</v>
      </c>
      <c r="L29" s="35">
        <f t="shared" si="8"/>
        <v>-0.10385775689220367</v>
      </c>
      <c r="N29" s="39" t="s">
        <v>86</v>
      </c>
    </row>
    <row r="30" spans="2:14" x14ac:dyDescent="0.25">
      <c r="B30" s="38">
        <f t="shared" si="0"/>
        <v>251</v>
      </c>
      <c r="C30" s="38">
        <f t="shared" si="1"/>
        <v>1024</v>
      </c>
      <c r="D30" s="38">
        <f t="shared" si="2"/>
        <v>1032</v>
      </c>
      <c r="E30" s="35">
        <f t="shared" si="3"/>
        <v>1.0078125</v>
      </c>
      <c r="G30" s="35">
        <f t="shared" si="4"/>
        <v>11.960025015373402</v>
      </c>
      <c r="H30" s="35">
        <f t="shared" si="5"/>
        <v>24.081180811808114</v>
      </c>
      <c r="I30" s="35">
        <v>1.7</v>
      </c>
      <c r="J30" s="35">
        <f t="shared" si="6"/>
        <v>5.0112272554232549</v>
      </c>
      <c r="K30" s="35">
        <f t="shared" si="7"/>
        <v>8.6487977599501455</v>
      </c>
      <c r="L30" s="35">
        <f t="shared" si="8"/>
        <v>-9.9378231979844855E-2</v>
      </c>
      <c r="N30" s="39" t="s">
        <v>87</v>
      </c>
    </row>
    <row r="31" spans="2:14" x14ac:dyDescent="0.25">
      <c r="B31" s="38">
        <f t="shared" si="0"/>
        <v>271</v>
      </c>
      <c r="C31" s="38">
        <f t="shared" si="1"/>
        <v>1024</v>
      </c>
      <c r="D31" s="38">
        <f t="shared" si="2"/>
        <v>1024</v>
      </c>
      <c r="E31" s="35">
        <f t="shared" si="3"/>
        <v>1</v>
      </c>
      <c r="G31" s="35">
        <f t="shared" si="4"/>
        <v>11.849419527970301</v>
      </c>
      <c r="H31" s="35">
        <f t="shared" si="5"/>
        <v>25.999999999999996</v>
      </c>
      <c r="I31" s="35">
        <v>1.7</v>
      </c>
      <c r="J31" s="35">
        <f t="shared" si="6"/>
        <v>5</v>
      </c>
      <c r="K31" s="35">
        <f t="shared" si="7"/>
        <v>8.5494195279703007</v>
      </c>
      <c r="L31" s="35">
        <f t="shared" si="8"/>
        <v>-0.10179643040337538</v>
      </c>
      <c r="N31" s="39" t="s">
        <v>88</v>
      </c>
    </row>
    <row r="32" spans="2:14" x14ac:dyDescent="0.25">
      <c r="B32" s="38">
        <f t="shared" si="0"/>
        <v>282</v>
      </c>
      <c r="C32" s="38">
        <f t="shared" si="1"/>
        <v>1024</v>
      </c>
      <c r="D32" s="38">
        <f t="shared" si="2"/>
        <v>1056</v>
      </c>
      <c r="E32" s="35">
        <f t="shared" si="3"/>
        <v>1.03125</v>
      </c>
      <c r="G32" s="35">
        <f t="shared" si="4"/>
        <v>11.79201721692538</v>
      </c>
      <c r="H32" s="35">
        <f t="shared" si="5"/>
        <v>27.05535055350553</v>
      </c>
      <c r="I32" s="35">
        <v>1.7</v>
      </c>
      <c r="J32" s="35">
        <f t="shared" si="6"/>
        <v>5.0443941193584534</v>
      </c>
      <c r="K32" s="35">
        <f t="shared" si="7"/>
        <v>8.4476230975669253</v>
      </c>
      <c r="L32" s="35">
        <f t="shared" si="8"/>
        <v>-0.10362263107415615</v>
      </c>
      <c r="N32" s="39" t="s">
        <v>89</v>
      </c>
    </row>
    <row r="33" spans="2:14" x14ac:dyDescent="0.25">
      <c r="B33" s="38">
        <f t="shared" si="0"/>
        <v>303</v>
      </c>
      <c r="C33" s="38">
        <f t="shared" si="1"/>
        <v>1024</v>
      </c>
      <c r="D33" s="38">
        <f t="shared" si="2"/>
        <v>1056</v>
      </c>
      <c r="E33" s="35">
        <f t="shared" si="3"/>
        <v>1.03125</v>
      </c>
      <c r="G33" s="35">
        <f t="shared" si="4"/>
        <v>11.688394585851224</v>
      </c>
      <c r="H33" s="35">
        <f t="shared" si="5"/>
        <v>29.070110701107012</v>
      </c>
      <c r="I33" s="35">
        <v>1.7</v>
      </c>
      <c r="J33" s="35">
        <f t="shared" si="6"/>
        <v>5.0443941193584534</v>
      </c>
      <c r="K33" s="35">
        <f t="shared" si="7"/>
        <v>8.3440004664927692</v>
      </c>
      <c r="L33" s="35">
        <f t="shared" si="8"/>
        <v>-9.6136189642647807E-2</v>
      </c>
      <c r="N33" s="39" t="s">
        <v>90</v>
      </c>
    </row>
    <row r="34" spans="2:14" x14ac:dyDescent="0.25">
      <c r="B34" s="38">
        <f t="shared" si="0"/>
        <v>334</v>
      </c>
      <c r="C34" s="38">
        <f t="shared" si="1"/>
        <v>1024</v>
      </c>
      <c r="D34" s="38">
        <f t="shared" si="2"/>
        <v>1024</v>
      </c>
      <c r="E34" s="35">
        <f t="shared" si="3"/>
        <v>1</v>
      </c>
      <c r="G34" s="35">
        <f t="shared" si="4"/>
        <v>11.547864276850122</v>
      </c>
      <c r="H34" s="35">
        <f t="shared" si="5"/>
        <v>32.044280442804421</v>
      </c>
      <c r="I34" s="35">
        <v>1.7</v>
      </c>
      <c r="J34" s="35">
        <f t="shared" si="6"/>
        <v>5</v>
      </c>
      <c r="K34" s="35">
        <f t="shared" si="7"/>
        <v>8.2478642768501214</v>
      </c>
      <c r="L34" s="35">
        <f t="shared" si="8"/>
        <v>-9.9198177341245142E-2</v>
      </c>
      <c r="N34" s="39" t="s">
        <v>91</v>
      </c>
    </row>
    <row r="35" spans="2:14" x14ac:dyDescent="0.25">
      <c r="B35" s="38">
        <f t="shared" ref="B35:B66" si="9">VALUE(MID(N35,6,SEARCH(",",N35,1)-6))</f>
        <v>355</v>
      </c>
      <c r="C35" s="38">
        <f t="shared" ref="C35:C66" si="10">VALUE(MID($N35,FIND("*",SUBSTITUTE($N35,",","*",1),1)+1,FIND("*",SUBSTITUTE($N35,",","*",2),1)-FIND("*",SUBSTITUTE($N35,",","*",1),1)-1))</f>
        <v>1024</v>
      </c>
      <c r="D35" s="38">
        <f t="shared" ref="D35:D66" si="11">VALUE(MID($N35,FIND("*",SUBSTITUTE($N35,",","*",2),1)+1,FIND("*",SUBSTITUTE($N35,",","*",3),1)-FIND("*",SUBSTITUTE($N35,",","*",2),1)-1))</f>
        <v>1032</v>
      </c>
      <c r="E35" s="35">
        <f t="shared" ref="E35:E66" si="12">((C35/1024)*(D35/1024))</f>
        <v>1.0078125</v>
      </c>
      <c r="G35" s="35">
        <f t="shared" ref="G35:G66" si="13">-LOG(B35*0.000001,2)</f>
        <v>11.459893354932131</v>
      </c>
      <c r="H35" s="35">
        <f t="shared" ref="H35:H66" si="14">B35*0.000001*3198/0.033333</f>
        <v>34.059040590405907</v>
      </c>
      <c r="I35" s="35">
        <v>1.7</v>
      </c>
      <c r="J35" s="35">
        <f t="shared" ref="J35:J66" si="15">LOG((C35/1024)*(D35/1024)*100/3.125,2)</f>
        <v>5.0112272554232549</v>
      </c>
      <c r="K35" s="35">
        <f t="shared" ref="K35:K66" si="16">I35+G35-J35</f>
        <v>8.1486660995088762</v>
      </c>
      <c r="L35" s="35">
        <f t="shared" ref="L35:L66" si="17">K36-K35</f>
        <v>-0.10510938339978892</v>
      </c>
      <c r="N35" s="39" t="s">
        <v>92</v>
      </c>
    </row>
    <row r="36" spans="2:14" x14ac:dyDescent="0.25">
      <c r="B36" s="38">
        <f t="shared" si="9"/>
        <v>376</v>
      </c>
      <c r="C36" s="38">
        <f t="shared" si="10"/>
        <v>1024</v>
      </c>
      <c r="D36" s="38">
        <f t="shared" si="11"/>
        <v>1048</v>
      </c>
      <c r="E36" s="35">
        <f t="shared" si="12"/>
        <v>1.0234375</v>
      </c>
      <c r="G36" s="35">
        <f t="shared" si="13"/>
        <v>11.376979717646538</v>
      </c>
      <c r="H36" s="35">
        <f t="shared" si="14"/>
        <v>36.073800738007378</v>
      </c>
      <c r="I36" s="35">
        <v>1.7</v>
      </c>
      <c r="J36" s="35">
        <f t="shared" si="15"/>
        <v>5.0334230015374501</v>
      </c>
      <c r="K36" s="35">
        <f t="shared" si="16"/>
        <v>8.0435567161090873</v>
      </c>
      <c r="L36" s="35">
        <f t="shared" si="17"/>
        <v>-9.2100386474416318E-2</v>
      </c>
      <c r="N36" s="39" t="s">
        <v>93</v>
      </c>
    </row>
    <row r="37" spans="2:14" x14ac:dyDescent="0.25">
      <c r="B37" s="38">
        <f t="shared" si="9"/>
        <v>407</v>
      </c>
      <c r="C37" s="38">
        <f t="shared" si="10"/>
        <v>1024</v>
      </c>
      <c r="D37" s="38">
        <f t="shared" si="11"/>
        <v>1032</v>
      </c>
      <c r="E37" s="35">
        <f t="shared" si="12"/>
        <v>1.0078125</v>
      </c>
      <c r="G37" s="35">
        <f t="shared" si="13"/>
        <v>11.262683585057927</v>
      </c>
      <c r="H37" s="35">
        <f t="shared" si="14"/>
        <v>39.047970479704794</v>
      </c>
      <c r="I37" s="35">
        <v>1.7</v>
      </c>
      <c r="J37" s="35">
        <f t="shared" si="15"/>
        <v>5.0112272554232549</v>
      </c>
      <c r="K37" s="35">
        <f t="shared" si="16"/>
        <v>7.951456329634671</v>
      </c>
      <c r="L37" s="35">
        <f t="shared" si="17"/>
        <v>-0.10590207533492446</v>
      </c>
      <c r="N37" s="39" t="s">
        <v>94</v>
      </c>
    </row>
    <row r="38" spans="2:14" x14ac:dyDescent="0.25">
      <c r="B38" s="38">
        <f t="shared" si="9"/>
        <v>438</v>
      </c>
      <c r="C38" s="38">
        <f t="shared" si="10"/>
        <v>1024</v>
      </c>
      <c r="D38" s="38">
        <f t="shared" si="11"/>
        <v>1032</v>
      </c>
      <c r="E38" s="35">
        <f t="shared" si="12"/>
        <v>1.0078125</v>
      </c>
      <c r="G38" s="35">
        <f t="shared" si="13"/>
        <v>11.156781509723002</v>
      </c>
      <c r="H38" s="35">
        <f t="shared" si="14"/>
        <v>42.022140221402211</v>
      </c>
      <c r="I38" s="35">
        <v>1.7</v>
      </c>
      <c r="J38" s="35">
        <f t="shared" si="15"/>
        <v>5.0112272554232549</v>
      </c>
      <c r="K38" s="35">
        <f t="shared" si="16"/>
        <v>7.8455542542997465</v>
      </c>
      <c r="L38" s="35">
        <f t="shared" si="17"/>
        <v>-0.10172988696382745</v>
      </c>
      <c r="N38" s="39" t="s">
        <v>95</v>
      </c>
    </row>
    <row r="39" spans="2:14" x14ac:dyDescent="0.25">
      <c r="B39" s="38">
        <f t="shared" si="9"/>
        <v>470</v>
      </c>
      <c r="C39" s="38">
        <f t="shared" si="10"/>
        <v>1024</v>
      </c>
      <c r="D39" s="38">
        <f t="shared" si="11"/>
        <v>1032</v>
      </c>
      <c r="E39" s="35">
        <f t="shared" si="12"/>
        <v>1.0078125</v>
      </c>
      <c r="G39" s="35">
        <f t="shared" si="13"/>
        <v>11.055051622759175</v>
      </c>
      <c r="H39" s="35">
        <f t="shared" si="14"/>
        <v>45.092250922509223</v>
      </c>
      <c r="I39" s="35">
        <v>1.7</v>
      </c>
      <c r="J39" s="35">
        <f t="shared" si="15"/>
        <v>5.0112272554232549</v>
      </c>
      <c r="K39" s="35">
        <f t="shared" si="16"/>
        <v>7.7438243673359191</v>
      </c>
      <c r="L39" s="35">
        <f t="shared" si="17"/>
        <v>-9.2149846630208643E-2</v>
      </c>
      <c r="N39" s="39" t="s">
        <v>96</v>
      </c>
    </row>
    <row r="40" spans="2:14" x14ac:dyDescent="0.25">
      <c r="B40" s="38">
        <f t="shared" si="9"/>
        <v>501</v>
      </c>
      <c r="C40" s="38">
        <f t="shared" si="10"/>
        <v>1024</v>
      </c>
      <c r="D40" s="38">
        <f t="shared" si="11"/>
        <v>1032</v>
      </c>
      <c r="E40" s="35">
        <f t="shared" si="12"/>
        <v>1.0078125</v>
      </c>
      <c r="G40" s="35">
        <f t="shared" si="13"/>
        <v>10.962901776128966</v>
      </c>
      <c r="H40" s="35">
        <f t="shared" si="14"/>
        <v>48.066420664206632</v>
      </c>
      <c r="I40" s="35">
        <v>1.7</v>
      </c>
      <c r="J40" s="35">
        <f t="shared" si="15"/>
        <v>5.0112272554232549</v>
      </c>
      <c r="K40" s="35">
        <f t="shared" si="16"/>
        <v>7.6516745207057104</v>
      </c>
      <c r="L40" s="35">
        <f t="shared" si="17"/>
        <v>-9.7756199911180452E-2</v>
      </c>
      <c r="N40" s="39" t="s">
        <v>97</v>
      </c>
    </row>
    <row r="41" spans="2:14" x14ac:dyDescent="0.25">
      <c r="B41" s="38">
        <f t="shared" si="9"/>
        <v>532</v>
      </c>
      <c r="C41" s="38">
        <f t="shared" si="10"/>
        <v>1024</v>
      </c>
      <c r="D41" s="38">
        <f t="shared" si="11"/>
        <v>1040</v>
      </c>
      <c r="E41" s="35">
        <f t="shared" si="12"/>
        <v>1.015625</v>
      </c>
      <c r="G41" s="35">
        <f t="shared" si="13"/>
        <v>10.876286133822985</v>
      </c>
      <c r="H41" s="35">
        <f t="shared" si="14"/>
        <v>51.040590405904062</v>
      </c>
      <c r="I41" s="35">
        <v>1.7</v>
      </c>
      <c r="J41" s="35">
        <f t="shared" si="15"/>
        <v>5.0223678130284544</v>
      </c>
      <c r="K41" s="35">
        <f t="shared" si="16"/>
        <v>7.55391832079453</v>
      </c>
      <c r="L41" s="35">
        <f t="shared" si="17"/>
        <v>-0.11217431035037251</v>
      </c>
      <c r="N41" s="39" t="s">
        <v>98</v>
      </c>
    </row>
    <row r="42" spans="2:14" x14ac:dyDescent="0.25">
      <c r="B42" s="38">
        <f t="shared" si="9"/>
        <v>584</v>
      </c>
      <c r="C42" s="38">
        <f t="shared" si="10"/>
        <v>1024</v>
      </c>
      <c r="D42" s="38">
        <f t="shared" si="11"/>
        <v>1024</v>
      </c>
      <c r="E42" s="35">
        <f t="shared" si="12"/>
        <v>1</v>
      </c>
      <c r="G42" s="35">
        <f t="shared" si="13"/>
        <v>10.741744010444158</v>
      </c>
      <c r="H42" s="35">
        <f t="shared" si="14"/>
        <v>56.02952029520295</v>
      </c>
      <c r="I42" s="35">
        <v>1.7</v>
      </c>
      <c r="J42" s="35">
        <f t="shared" si="15"/>
        <v>5</v>
      </c>
      <c r="K42" s="35">
        <f t="shared" si="16"/>
        <v>7.4417440104441575</v>
      </c>
      <c r="L42" s="35">
        <f t="shared" si="17"/>
        <v>-9.6985854375040148E-2</v>
      </c>
      <c r="N42" s="39" t="s">
        <v>99</v>
      </c>
    </row>
    <row r="43" spans="2:14" x14ac:dyDescent="0.25">
      <c r="B43" s="38">
        <f t="shared" si="9"/>
        <v>615</v>
      </c>
      <c r="C43" s="38">
        <f t="shared" si="10"/>
        <v>1024</v>
      </c>
      <c r="D43" s="38">
        <f t="shared" si="11"/>
        <v>1040</v>
      </c>
      <c r="E43" s="35">
        <f t="shared" si="12"/>
        <v>1.015625</v>
      </c>
      <c r="G43" s="35">
        <f t="shared" si="13"/>
        <v>10.667125969097572</v>
      </c>
      <c r="H43" s="35">
        <f t="shared" si="14"/>
        <v>59.003690036900366</v>
      </c>
      <c r="I43" s="35">
        <v>1.7</v>
      </c>
      <c r="J43" s="35">
        <f t="shared" si="15"/>
        <v>5.0223678130284544</v>
      </c>
      <c r="K43" s="35">
        <f t="shared" si="16"/>
        <v>7.3447581560691173</v>
      </c>
      <c r="L43" s="35">
        <f t="shared" si="17"/>
        <v>-9.6893879218995949E-2</v>
      </c>
      <c r="N43" s="39" t="s">
        <v>100</v>
      </c>
    </row>
    <row r="44" spans="2:14" x14ac:dyDescent="0.25">
      <c r="B44" s="38">
        <f t="shared" si="9"/>
        <v>668</v>
      </c>
      <c r="C44" s="38">
        <f t="shared" si="10"/>
        <v>1024</v>
      </c>
      <c r="D44" s="38">
        <f t="shared" si="11"/>
        <v>1024</v>
      </c>
      <c r="E44" s="35">
        <f t="shared" si="12"/>
        <v>1</v>
      </c>
      <c r="G44" s="35">
        <f t="shared" si="13"/>
        <v>10.547864276850122</v>
      </c>
      <c r="H44" s="35">
        <f t="shared" si="14"/>
        <v>64.088560885608842</v>
      </c>
      <c r="I44" s="35">
        <v>1.7</v>
      </c>
      <c r="J44" s="35">
        <f t="shared" si="15"/>
        <v>5</v>
      </c>
      <c r="K44" s="35">
        <f t="shared" si="16"/>
        <v>7.2478642768501214</v>
      </c>
      <c r="L44" s="35">
        <f t="shared" si="17"/>
        <v>-9.7164780188719213E-2</v>
      </c>
      <c r="N44" s="39" t="s">
        <v>101</v>
      </c>
    </row>
    <row r="45" spans="2:14" x14ac:dyDescent="0.25">
      <c r="B45" s="38">
        <f t="shared" si="9"/>
        <v>709</v>
      </c>
      <c r="C45" s="38">
        <f t="shared" si="10"/>
        <v>1024</v>
      </c>
      <c r="D45" s="38">
        <f t="shared" si="11"/>
        <v>1032</v>
      </c>
      <c r="E45" s="35">
        <f t="shared" si="12"/>
        <v>1.0078125</v>
      </c>
      <c r="G45" s="35">
        <f t="shared" si="13"/>
        <v>10.461926752084658</v>
      </c>
      <c r="H45" s="35">
        <f t="shared" si="14"/>
        <v>68.022140221402211</v>
      </c>
      <c r="I45" s="35">
        <v>1.7</v>
      </c>
      <c r="J45" s="35">
        <f t="shared" si="15"/>
        <v>5.0112272554232549</v>
      </c>
      <c r="K45" s="35">
        <f t="shared" si="16"/>
        <v>7.1506994966614021</v>
      </c>
      <c r="L45" s="35">
        <f t="shared" si="17"/>
        <v>-0.10211082626402934</v>
      </c>
      <c r="N45" s="39" t="s">
        <v>102</v>
      </c>
    </row>
    <row r="46" spans="2:14" x14ac:dyDescent="0.25">
      <c r="B46" s="38">
        <f t="shared" si="9"/>
        <v>761</v>
      </c>
      <c r="C46" s="38">
        <f t="shared" si="10"/>
        <v>1024</v>
      </c>
      <c r="D46" s="38">
        <f t="shared" si="11"/>
        <v>1032</v>
      </c>
      <c r="E46" s="35">
        <f t="shared" si="12"/>
        <v>1.0078125</v>
      </c>
      <c r="G46" s="35">
        <f t="shared" si="13"/>
        <v>10.359815925820628</v>
      </c>
      <c r="H46" s="35">
        <f t="shared" si="14"/>
        <v>73.011070110701098</v>
      </c>
      <c r="I46" s="35">
        <v>1.7</v>
      </c>
      <c r="J46" s="35">
        <f t="shared" si="15"/>
        <v>5.0112272554232549</v>
      </c>
      <c r="K46" s="35">
        <f t="shared" si="16"/>
        <v>7.0485886703973728</v>
      </c>
      <c r="L46" s="35">
        <f t="shared" si="17"/>
        <v>-9.5358898571481276E-2</v>
      </c>
      <c r="N46" s="39" t="s">
        <v>103</v>
      </c>
    </row>
    <row r="47" spans="2:14" x14ac:dyDescent="0.25">
      <c r="B47" s="38">
        <f t="shared" si="9"/>
        <v>813</v>
      </c>
      <c r="C47" s="38">
        <f t="shared" si="10"/>
        <v>1024</v>
      </c>
      <c r="D47" s="38">
        <f t="shared" si="11"/>
        <v>1032</v>
      </c>
      <c r="E47" s="35">
        <f t="shared" si="12"/>
        <v>1.0078125</v>
      </c>
      <c r="G47" s="35">
        <f t="shared" si="13"/>
        <v>10.264457027249147</v>
      </c>
      <c r="H47" s="35">
        <f t="shared" si="14"/>
        <v>77.999999999999986</v>
      </c>
      <c r="I47" s="35">
        <v>1.7</v>
      </c>
      <c r="J47" s="35">
        <f t="shared" si="15"/>
        <v>5.0112272554232549</v>
      </c>
      <c r="K47" s="35">
        <f t="shared" si="16"/>
        <v>6.9532297718258915</v>
      </c>
      <c r="L47" s="35">
        <f t="shared" si="17"/>
        <v>-0.10767551752614679</v>
      </c>
      <c r="N47" s="39" t="s">
        <v>104</v>
      </c>
    </row>
    <row r="48" spans="2:14" x14ac:dyDescent="0.25">
      <c r="B48" s="38">
        <f t="shared" si="9"/>
        <v>876</v>
      </c>
      <c r="C48" s="38">
        <f t="shared" si="10"/>
        <v>1024</v>
      </c>
      <c r="D48" s="38">
        <f t="shared" si="11"/>
        <v>1032</v>
      </c>
      <c r="E48" s="35">
        <f t="shared" si="12"/>
        <v>1.0078125</v>
      </c>
      <c r="G48" s="35">
        <f t="shared" si="13"/>
        <v>10.156781509723</v>
      </c>
      <c r="H48" s="35">
        <f t="shared" si="14"/>
        <v>84.044280442804421</v>
      </c>
      <c r="I48" s="35">
        <v>1.7</v>
      </c>
      <c r="J48" s="35">
        <f t="shared" si="15"/>
        <v>5.0112272554232549</v>
      </c>
      <c r="K48" s="35">
        <f t="shared" si="16"/>
        <v>6.8455542542997447</v>
      </c>
      <c r="L48" s="35">
        <f t="shared" si="17"/>
        <v>-0.10019428805260056</v>
      </c>
      <c r="N48" s="39" t="s">
        <v>105</v>
      </c>
    </row>
    <row r="49" spans="2:14" x14ac:dyDescent="0.25">
      <c r="B49" s="38">
        <f t="shared" si="9"/>
        <v>939</v>
      </c>
      <c r="C49" s="38">
        <f t="shared" si="10"/>
        <v>1024</v>
      </c>
      <c r="D49" s="38">
        <f t="shared" si="11"/>
        <v>1032</v>
      </c>
      <c r="E49" s="35">
        <f t="shared" si="12"/>
        <v>1.0078125</v>
      </c>
      <c r="G49" s="35">
        <f t="shared" si="13"/>
        <v>10.0565872216704</v>
      </c>
      <c r="H49" s="35">
        <f t="shared" si="14"/>
        <v>90.088560885608842</v>
      </c>
      <c r="I49" s="35">
        <v>1.7</v>
      </c>
      <c r="J49" s="35">
        <f t="shared" si="15"/>
        <v>5.0112272554232549</v>
      </c>
      <c r="K49" s="35">
        <f t="shared" si="16"/>
        <v>6.7453599662471442</v>
      </c>
      <c r="L49" s="35">
        <f t="shared" si="17"/>
        <v>-9.2244911182218559E-2</v>
      </c>
      <c r="N49" s="39" t="s">
        <v>106</v>
      </c>
    </row>
    <row r="50" spans="2:14" x14ac:dyDescent="0.25">
      <c r="B50" s="38">
        <f t="shared" si="9"/>
        <v>1001</v>
      </c>
      <c r="C50" s="38">
        <f t="shared" si="10"/>
        <v>1024</v>
      </c>
      <c r="D50" s="38">
        <f t="shared" si="11"/>
        <v>1032</v>
      </c>
      <c r="E50" s="35">
        <f t="shared" si="12"/>
        <v>1.0078125</v>
      </c>
      <c r="G50" s="35">
        <f t="shared" si="13"/>
        <v>9.9643423104881812</v>
      </c>
      <c r="H50" s="35">
        <f t="shared" si="14"/>
        <v>96.036900369003675</v>
      </c>
      <c r="I50" s="35">
        <v>1.7</v>
      </c>
      <c r="J50" s="35">
        <f t="shared" si="15"/>
        <v>5.0112272554232549</v>
      </c>
      <c r="K50" s="35">
        <f t="shared" si="16"/>
        <v>6.6531150550649256</v>
      </c>
      <c r="L50" s="35">
        <f t="shared" si="17"/>
        <v>-0.10155201914941969</v>
      </c>
      <c r="N50" s="39" t="s">
        <v>107</v>
      </c>
    </row>
    <row r="51" spans="2:14" x14ac:dyDescent="0.25">
      <c r="B51" s="38">
        <f t="shared" si="9"/>
        <v>1074</v>
      </c>
      <c r="C51" s="38">
        <f t="shared" si="10"/>
        <v>1024</v>
      </c>
      <c r="D51" s="38">
        <f t="shared" si="11"/>
        <v>1032</v>
      </c>
      <c r="E51" s="35">
        <f t="shared" si="12"/>
        <v>1.0078125</v>
      </c>
      <c r="G51" s="35">
        <f t="shared" si="13"/>
        <v>9.8627902913387615</v>
      </c>
      <c r="H51" s="35">
        <f t="shared" si="14"/>
        <v>103.04059040590404</v>
      </c>
      <c r="I51" s="35">
        <v>1.7</v>
      </c>
      <c r="J51" s="35">
        <f t="shared" si="15"/>
        <v>5.0112272554232549</v>
      </c>
      <c r="K51" s="35">
        <f t="shared" si="16"/>
        <v>6.5515630359155059</v>
      </c>
      <c r="L51" s="35">
        <f t="shared" si="17"/>
        <v>-0.10739487112207691</v>
      </c>
      <c r="N51" s="39" t="s">
        <v>108</v>
      </c>
    </row>
    <row r="52" spans="2:14" x14ac:dyDescent="0.25">
      <c r="B52" s="38">
        <f t="shared" si="9"/>
        <v>1157</v>
      </c>
      <c r="C52" s="38">
        <f t="shared" si="10"/>
        <v>1024</v>
      </c>
      <c r="D52" s="38">
        <f t="shared" si="11"/>
        <v>1032</v>
      </c>
      <c r="E52" s="35">
        <f t="shared" si="12"/>
        <v>1.0078125</v>
      </c>
      <c r="G52" s="35">
        <f t="shared" si="13"/>
        <v>9.7553954202166846</v>
      </c>
      <c r="H52" s="35">
        <f t="shared" si="14"/>
        <v>111.00369003690037</v>
      </c>
      <c r="I52" s="35">
        <v>1.7</v>
      </c>
      <c r="J52" s="35">
        <f t="shared" si="15"/>
        <v>5.0112272554232549</v>
      </c>
      <c r="K52" s="35">
        <f t="shared" si="16"/>
        <v>6.444168164793429</v>
      </c>
      <c r="L52" s="35">
        <f t="shared" si="17"/>
        <v>-0.10146566963507464</v>
      </c>
      <c r="N52" s="39" t="s">
        <v>109</v>
      </c>
    </row>
    <row r="53" spans="2:14" x14ac:dyDescent="0.25">
      <c r="B53" s="38">
        <f t="shared" si="9"/>
        <v>1251</v>
      </c>
      <c r="C53" s="38">
        <f t="shared" si="10"/>
        <v>1024</v>
      </c>
      <c r="D53" s="38">
        <f t="shared" si="11"/>
        <v>1024</v>
      </c>
      <c r="E53" s="35">
        <f t="shared" si="12"/>
        <v>1</v>
      </c>
      <c r="G53" s="35">
        <f t="shared" si="13"/>
        <v>9.6427024951583551</v>
      </c>
      <c r="H53" s="35">
        <f t="shared" si="14"/>
        <v>120.02214022140221</v>
      </c>
      <c r="I53" s="35">
        <v>1.7</v>
      </c>
      <c r="J53" s="35">
        <f t="shared" si="15"/>
        <v>5</v>
      </c>
      <c r="K53" s="35">
        <f t="shared" si="16"/>
        <v>6.3427024951583544</v>
      </c>
      <c r="L53" s="35">
        <f t="shared" si="17"/>
        <v>-9.3757952409097456E-2</v>
      </c>
      <c r="N53" s="39" t="s">
        <v>110</v>
      </c>
    </row>
    <row r="54" spans="2:14" x14ac:dyDescent="0.25">
      <c r="B54" s="38">
        <f t="shared" si="9"/>
        <v>1335</v>
      </c>
      <c r="C54" s="38">
        <f t="shared" si="10"/>
        <v>1024</v>
      </c>
      <c r="D54" s="38">
        <f t="shared" si="11"/>
        <v>1024</v>
      </c>
      <c r="E54" s="35">
        <f t="shared" si="12"/>
        <v>1</v>
      </c>
      <c r="G54" s="35">
        <f t="shared" si="13"/>
        <v>9.5489445427492576</v>
      </c>
      <c r="H54" s="35">
        <f t="shared" si="14"/>
        <v>128.08118081180811</v>
      </c>
      <c r="I54" s="35">
        <v>1.7</v>
      </c>
      <c r="J54" s="35">
        <f t="shared" si="15"/>
        <v>5</v>
      </c>
      <c r="K54" s="35">
        <f t="shared" si="16"/>
        <v>6.2489445427492569</v>
      </c>
      <c r="L54" s="35">
        <f t="shared" si="17"/>
        <v>-9.8245046087853005E-2</v>
      </c>
      <c r="N54" s="39" t="s">
        <v>111</v>
      </c>
    </row>
    <row r="55" spans="2:14" x14ac:dyDescent="0.25">
      <c r="B55" s="38">
        <f t="shared" si="9"/>
        <v>1418</v>
      </c>
      <c r="C55" s="38">
        <f t="shared" si="10"/>
        <v>1024</v>
      </c>
      <c r="D55" s="38">
        <f t="shared" si="11"/>
        <v>1032</v>
      </c>
      <c r="E55" s="35">
        <f t="shared" si="12"/>
        <v>1.0078125</v>
      </c>
      <c r="G55" s="35">
        <f t="shared" si="13"/>
        <v>9.4619267520846595</v>
      </c>
      <c r="H55" s="35">
        <f t="shared" si="14"/>
        <v>136.04428044280442</v>
      </c>
      <c r="I55" s="35">
        <v>1.7</v>
      </c>
      <c r="J55" s="35">
        <f t="shared" si="15"/>
        <v>5.0112272554232549</v>
      </c>
      <c r="K55" s="35">
        <f t="shared" si="16"/>
        <v>6.1506994966614039</v>
      </c>
      <c r="L55" s="35">
        <f t="shared" si="17"/>
        <v>-0.10127290899600805</v>
      </c>
      <c r="N55" s="39" t="s">
        <v>112</v>
      </c>
    </row>
    <row r="56" spans="2:14" x14ac:dyDescent="0.25">
      <c r="B56" s="38">
        <f t="shared" si="9"/>
        <v>1533</v>
      </c>
      <c r="C56" s="38">
        <f t="shared" si="10"/>
        <v>1024</v>
      </c>
      <c r="D56" s="38">
        <f t="shared" si="11"/>
        <v>1024</v>
      </c>
      <c r="E56" s="35">
        <f t="shared" si="12"/>
        <v>1</v>
      </c>
      <c r="G56" s="35">
        <f t="shared" si="13"/>
        <v>9.3494265876653966</v>
      </c>
      <c r="H56" s="35">
        <f t="shared" si="14"/>
        <v>147.07749077490772</v>
      </c>
      <c r="I56" s="35">
        <v>1.7</v>
      </c>
      <c r="J56" s="35">
        <f t="shared" si="15"/>
        <v>5</v>
      </c>
      <c r="K56" s="35">
        <f t="shared" si="16"/>
        <v>6.0494265876653959</v>
      </c>
      <c r="L56" s="35">
        <f t="shared" si="17"/>
        <v>-0.10348285806757751</v>
      </c>
      <c r="N56" s="39" t="s">
        <v>113</v>
      </c>
    </row>
    <row r="57" spans="2:14" x14ac:dyDescent="0.25">
      <c r="B57" s="38">
        <f t="shared" si="9"/>
        <v>1647</v>
      </c>
      <c r="C57" s="38">
        <f t="shared" si="10"/>
        <v>1024</v>
      </c>
      <c r="D57" s="38">
        <f t="shared" si="11"/>
        <v>1024</v>
      </c>
      <c r="E57" s="35">
        <f t="shared" si="12"/>
        <v>1</v>
      </c>
      <c r="G57" s="35">
        <f t="shared" si="13"/>
        <v>9.2459437295978191</v>
      </c>
      <c r="H57" s="35">
        <f t="shared" si="14"/>
        <v>158.01476014760146</v>
      </c>
      <c r="I57" s="35">
        <v>1.7</v>
      </c>
      <c r="J57" s="35">
        <f t="shared" si="15"/>
        <v>5</v>
      </c>
      <c r="K57" s="35">
        <f t="shared" si="16"/>
        <v>5.9459437295978184</v>
      </c>
      <c r="L57" s="35">
        <f t="shared" si="17"/>
        <v>-9.7373369194057702E-2</v>
      </c>
      <c r="N57" s="39" t="s">
        <v>114</v>
      </c>
    </row>
    <row r="58" spans="2:14" x14ac:dyDescent="0.25">
      <c r="B58" s="38">
        <f t="shared" si="9"/>
        <v>1762</v>
      </c>
      <c r="C58" s="38">
        <f t="shared" si="10"/>
        <v>1024</v>
      </c>
      <c r="D58" s="38">
        <f t="shared" si="11"/>
        <v>1024</v>
      </c>
      <c r="E58" s="35">
        <f t="shared" si="12"/>
        <v>1</v>
      </c>
      <c r="G58" s="35">
        <f t="shared" si="13"/>
        <v>9.1485703604037614</v>
      </c>
      <c r="H58" s="35">
        <f t="shared" si="14"/>
        <v>169.04797047970476</v>
      </c>
      <c r="I58" s="35">
        <v>1.7</v>
      </c>
      <c r="J58" s="35">
        <f t="shared" si="15"/>
        <v>5</v>
      </c>
      <c r="K58" s="35">
        <f t="shared" si="16"/>
        <v>5.8485703604037607</v>
      </c>
      <c r="L58" s="35">
        <f t="shared" si="17"/>
        <v>-0.10650575449106192</v>
      </c>
      <c r="N58" s="39" t="s">
        <v>115</v>
      </c>
    </row>
    <row r="59" spans="2:14" x14ac:dyDescent="0.25">
      <c r="B59" s="38">
        <f t="shared" si="9"/>
        <v>1897</v>
      </c>
      <c r="C59" s="38">
        <f t="shared" si="10"/>
        <v>1024</v>
      </c>
      <c r="D59" s="38">
        <f t="shared" si="11"/>
        <v>1024</v>
      </c>
      <c r="E59" s="35">
        <f t="shared" si="12"/>
        <v>1</v>
      </c>
      <c r="G59" s="35">
        <f t="shared" si="13"/>
        <v>9.0420646059126994</v>
      </c>
      <c r="H59" s="35">
        <f t="shared" si="14"/>
        <v>181.99999999999997</v>
      </c>
      <c r="I59" s="35">
        <v>1.7</v>
      </c>
      <c r="J59" s="35">
        <f t="shared" si="15"/>
        <v>5</v>
      </c>
      <c r="K59" s="35">
        <f t="shared" si="16"/>
        <v>5.7420646059126987</v>
      </c>
      <c r="L59" s="35">
        <f t="shared" si="17"/>
        <v>-9.2776641146807393E-2</v>
      </c>
      <c r="N59" s="39" t="s">
        <v>116</v>
      </c>
    </row>
    <row r="60" spans="2:14" x14ac:dyDescent="0.25">
      <c r="B60" s="38">
        <f t="shared" si="9"/>
        <v>2023</v>
      </c>
      <c r="C60" s="38">
        <f t="shared" si="10"/>
        <v>1024</v>
      </c>
      <c r="D60" s="38">
        <f t="shared" si="11"/>
        <v>1024</v>
      </c>
      <c r="E60" s="35">
        <f t="shared" si="12"/>
        <v>1</v>
      </c>
      <c r="G60" s="35">
        <f t="shared" si="13"/>
        <v>8.9492879647658921</v>
      </c>
      <c r="H60" s="35">
        <f t="shared" si="14"/>
        <v>194.08856088560887</v>
      </c>
      <c r="I60" s="35">
        <v>1.7</v>
      </c>
      <c r="J60" s="35">
        <f t="shared" si="15"/>
        <v>5</v>
      </c>
      <c r="K60" s="35">
        <f t="shared" si="16"/>
        <v>5.6492879647658913</v>
      </c>
      <c r="L60" s="35">
        <f t="shared" si="17"/>
        <v>-9.9868436795588877E-2</v>
      </c>
      <c r="N60" s="39" t="s">
        <v>117</v>
      </c>
    </row>
    <row r="61" spans="2:14" x14ac:dyDescent="0.25">
      <c r="B61" s="38">
        <f t="shared" si="9"/>
        <v>2168</v>
      </c>
      <c r="C61" s="38">
        <f t="shared" si="10"/>
        <v>1024</v>
      </c>
      <c r="D61" s="38">
        <f t="shared" si="11"/>
        <v>1024</v>
      </c>
      <c r="E61" s="35">
        <f t="shared" si="12"/>
        <v>1</v>
      </c>
      <c r="G61" s="35">
        <f t="shared" si="13"/>
        <v>8.8494195279703032</v>
      </c>
      <c r="H61" s="35">
        <f t="shared" si="14"/>
        <v>207.99999999999997</v>
      </c>
      <c r="I61" s="35">
        <v>1.7</v>
      </c>
      <c r="J61" s="35">
        <f t="shared" si="15"/>
        <v>5</v>
      </c>
      <c r="K61" s="35">
        <f t="shared" si="16"/>
        <v>5.5494195279703025</v>
      </c>
      <c r="L61" s="35">
        <f t="shared" si="17"/>
        <v>-0.10705779324315223</v>
      </c>
      <c r="N61" s="39" t="s">
        <v>118</v>
      </c>
    </row>
    <row r="62" spans="2:14" x14ac:dyDescent="0.25">
      <c r="B62" s="38">
        <f t="shared" si="9"/>
        <v>2335</v>
      </c>
      <c r="C62" s="38">
        <f t="shared" si="10"/>
        <v>1024</v>
      </c>
      <c r="D62" s="38">
        <f t="shared" si="11"/>
        <v>1024</v>
      </c>
      <c r="E62" s="35">
        <f t="shared" si="12"/>
        <v>1</v>
      </c>
      <c r="G62" s="35">
        <f t="shared" si="13"/>
        <v>8.7423617347271509</v>
      </c>
      <c r="H62" s="35">
        <f t="shared" si="14"/>
        <v>224.0221402214022</v>
      </c>
      <c r="I62" s="35">
        <v>1.7</v>
      </c>
      <c r="J62" s="35">
        <f t="shared" si="15"/>
        <v>5</v>
      </c>
      <c r="K62" s="35">
        <f t="shared" si="16"/>
        <v>5.4423617347271502</v>
      </c>
      <c r="L62" s="35">
        <f t="shared" si="17"/>
        <v>-9.3881518426977451E-2</v>
      </c>
      <c r="N62" s="39" t="s">
        <v>119</v>
      </c>
    </row>
    <row r="63" spans="2:14" x14ac:dyDescent="0.25">
      <c r="B63" s="38">
        <f t="shared" si="9"/>
        <v>2492</v>
      </c>
      <c r="C63" s="38">
        <f t="shared" si="10"/>
        <v>1024</v>
      </c>
      <c r="D63" s="38">
        <f t="shared" si="11"/>
        <v>1024</v>
      </c>
      <c r="E63" s="35">
        <f t="shared" si="12"/>
        <v>1</v>
      </c>
      <c r="G63" s="35">
        <f t="shared" si="13"/>
        <v>8.6484802163001735</v>
      </c>
      <c r="H63" s="35">
        <f t="shared" si="14"/>
        <v>239.08487084870848</v>
      </c>
      <c r="I63" s="35">
        <v>1.7</v>
      </c>
      <c r="J63" s="35">
        <f t="shared" si="15"/>
        <v>5</v>
      </c>
      <c r="K63" s="35">
        <f t="shared" si="16"/>
        <v>5.3484802163001728</v>
      </c>
      <c r="L63" s="35">
        <f t="shared" si="17"/>
        <v>-9.8995237117966539E-2</v>
      </c>
      <c r="N63" s="39" t="s">
        <v>120</v>
      </c>
    </row>
    <row r="64" spans="2:14" x14ac:dyDescent="0.25">
      <c r="B64" s="38">
        <f t="shared" si="9"/>
        <v>2669</v>
      </c>
      <c r="C64" s="38">
        <f t="shared" si="10"/>
        <v>1024</v>
      </c>
      <c r="D64" s="38">
        <f t="shared" si="11"/>
        <v>1024</v>
      </c>
      <c r="E64" s="35">
        <f t="shared" si="12"/>
        <v>1</v>
      </c>
      <c r="G64" s="35">
        <f t="shared" si="13"/>
        <v>8.549484979182207</v>
      </c>
      <c r="H64" s="35">
        <f t="shared" si="14"/>
        <v>256.06642066420659</v>
      </c>
      <c r="I64" s="35">
        <v>1.7</v>
      </c>
      <c r="J64" s="35">
        <f t="shared" si="15"/>
        <v>5</v>
      </c>
      <c r="K64" s="35">
        <f t="shared" si="16"/>
        <v>5.2494849791822062</v>
      </c>
      <c r="L64" s="35">
        <f t="shared" si="17"/>
        <v>-9.7696673887133656E-2</v>
      </c>
      <c r="N64" s="39" t="s">
        <v>121</v>
      </c>
    </row>
    <row r="65" spans="2:14" x14ac:dyDescent="0.25">
      <c r="B65" s="38">
        <f t="shared" si="9"/>
        <v>2856</v>
      </c>
      <c r="C65" s="38">
        <f t="shared" si="10"/>
        <v>1024</v>
      </c>
      <c r="D65" s="38">
        <f t="shared" si="11"/>
        <v>1024</v>
      </c>
      <c r="E65" s="35">
        <f t="shared" si="12"/>
        <v>1</v>
      </c>
      <c r="G65" s="35">
        <f t="shared" si="13"/>
        <v>8.4517883052950733</v>
      </c>
      <c r="H65" s="35">
        <f t="shared" si="14"/>
        <v>274.00738007380073</v>
      </c>
      <c r="I65" s="35">
        <v>1.7</v>
      </c>
      <c r="J65" s="35">
        <f t="shared" si="15"/>
        <v>5</v>
      </c>
      <c r="K65" s="35">
        <f t="shared" si="16"/>
        <v>5.1517883052950726</v>
      </c>
      <c r="L65" s="35">
        <f t="shared" si="17"/>
        <v>-0.10659043108486443</v>
      </c>
      <c r="N65" s="39" t="s">
        <v>122</v>
      </c>
    </row>
    <row r="66" spans="2:14" x14ac:dyDescent="0.25">
      <c r="B66" s="38">
        <f t="shared" si="9"/>
        <v>3075</v>
      </c>
      <c r="C66" s="38">
        <f t="shared" si="10"/>
        <v>1024</v>
      </c>
      <c r="D66" s="38">
        <f t="shared" si="11"/>
        <v>1024</v>
      </c>
      <c r="E66" s="35">
        <f t="shared" si="12"/>
        <v>1</v>
      </c>
      <c r="G66" s="35">
        <f t="shared" si="13"/>
        <v>8.3451978742102089</v>
      </c>
      <c r="H66" s="35">
        <f t="shared" si="14"/>
        <v>295.01845018450183</v>
      </c>
      <c r="I66" s="35">
        <v>1.7</v>
      </c>
      <c r="J66" s="35">
        <f t="shared" si="15"/>
        <v>5</v>
      </c>
      <c r="K66" s="35">
        <f t="shared" si="16"/>
        <v>5.0451978742102082</v>
      </c>
      <c r="L66" s="35">
        <f t="shared" si="17"/>
        <v>-9.9254144612389794E-2</v>
      </c>
      <c r="N66" s="39" t="s">
        <v>123</v>
      </c>
    </row>
    <row r="67" spans="2:14" x14ac:dyDescent="0.25">
      <c r="B67" s="38">
        <f t="shared" ref="B67:B98" si="18">VALUE(MID(N67,6,SEARCH(",",N67,1)-6))</f>
        <v>3294</v>
      </c>
      <c r="C67" s="38">
        <f t="shared" ref="C67:C98" si="19">VALUE(MID($N67,FIND("*",SUBSTITUTE($N67,",","*",1),1)+1,FIND("*",SUBSTITUTE($N67,",","*",2),1)-FIND("*",SUBSTITUTE($N67,",","*",1),1)-1))</f>
        <v>1024</v>
      </c>
      <c r="D67" s="38">
        <f t="shared" ref="D67:D98" si="20">VALUE(MID($N67,FIND("*",SUBSTITUTE($N67,",","*",2),1)+1,FIND("*",SUBSTITUTE($N67,",","*",3),1)-FIND("*",SUBSTITUTE($N67,",","*",2),1)-1))</f>
        <v>1024</v>
      </c>
      <c r="E67" s="35">
        <f t="shared" ref="E67:E98" si="21">((C67/1024)*(D67/1024))</f>
        <v>1</v>
      </c>
      <c r="G67" s="35">
        <f t="shared" ref="G67:G98" si="22">-LOG(B67*0.000001,2)</f>
        <v>8.2459437295978191</v>
      </c>
      <c r="H67" s="35">
        <f t="shared" ref="H67:H98" si="23">B67*0.000001*3198/0.033333</f>
        <v>316.02952029520293</v>
      </c>
      <c r="I67" s="35">
        <v>1.7</v>
      </c>
      <c r="J67" s="35">
        <f t="shared" ref="J67:J98" si="24">LOG((C67/1024)*(D67/1024)*100/3.125,2)</f>
        <v>5</v>
      </c>
      <c r="K67" s="35">
        <f t="shared" ref="K67:K98" si="25">I67+G67-J67</f>
        <v>4.9459437295978184</v>
      </c>
      <c r="L67" s="35">
        <f t="shared" ref="L67:L98" si="26">K68-K67</f>
        <v>-9.696391976860852E-2</v>
      </c>
      <c r="N67" s="39" t="s">
        <v>124</v>
      </c>
    </row>
    <row r="68" spans="2:14" x14ac:dyDescent="0.25">
      <c r="B68" s="38">
        <f t="shared" si="18"/>
        <v>3523</v>
      </c>
      <c r="C68" s="38">
        <f t="shared" si="19"/>
        <v>1024</v>
      </c>
      <c r="D68" s="38">
        <f t="shared" si="20"/>
        <v>1024</v>
      </c>
      <c r="E68" s="35">
        <f t="shared" si="21"/>
        <v>1</v>
      </c>
      <c r="G68" s="35">
        <f t="shared" si="22"/>
        <v>8.1489798098292106</v>
      </c>
      <c r="H68" s="35">
        <f t="shared" si="23"/>
        <v>337.99999999999994</v>
      </c>
      <c r="I68" s="35">
        <v>1.7</v>
      </c>
      <c r="J68" s="35">
        <f t="shared" si="24"/>
        <v>5</v>
      </c>
      <c r="K68" s="35">
        <f t="shared" si="25"/>
        <v>4.8489798098292098</v>
      </c>
      <c r="L68" s="35">
        <f t="shared" si="26"/>
        <v>-9.928994810548275E-2</v>
      </c>
      <c r="N68" s="39" t="s">
        <v>125</v>
      </c>
    </row>
    <row r="69" spans="2:14" x14ac:dyDescent="0.25">
      <c r="B69" s="38">
        <f t="shared" si="18"/>
        <v>3774</v>
      </c>
      <c r="C69" s="38">
        <f t="shared" si="19"/>
        <v>1024</v>
      </c>
      <c r="D69" s="38">
        <f t="shared" si="20"/>
        <v>1024</v>
      </c>
      <c r="E69" s="35">
        <f t="shared" si="21"/>
        <v>1</v>
      </c>
      <c r="G69" s="35">
        <f t="shared" si="22"/>
        <v>8.0496898617237278</v>
      </c>
      <c r="H69" s="35">
        <f t="shared" si="23"/>
        <v>362.08118081180811</v>
      </c>
      <c r="I69" s="35">
        <v>1.7</v>
      </c>
      <c r="J69" s="35">
        <f t="shared" si="24"/>
        <v>5</v>
      </c>
      <c r="K69" s="35">
        <f t="shared" si="25"/>
        <v>4.7496898617237271</v>
      </c>
      <c r="L69" s="35">
        <f t="shared" si="26"/>
        <v>-9.6116661012514371E-2</v>
      </c>
      <c r="N69" s="39" t="s">
        <v>126</v>
      </c>
    </row>
    <row r="70" spans="2:14" x14ac:dyDescent="0.25">
      <c r="B70" s="38">
        <f t="shared" si="18"/>
        <v>4034</v>
      </c>
      <c r="C70" s="38">
        <f t="shared" si="19"/>
        <v>1024</v>
      </c>
      <c r="D70" s="38">
        <f t="shared" si="20"/>
        <v>1024</v>
      </c>
      <c r="E70" s="35">
        <f t="shared" si="21"/>
        <v>1</v>
      </c>
      <c r="G70" s="35">
        <f t="shared" si="22"/>
        <v>7.9535732007112125</v>
      </c>
      <c r="H70" s="35">
        <f t="shared" si="23"/>
        <v>387.02583025830251</v>
      </c>
      <c r="I70" s="35">
        <v>1.7</v>
      </c>
      <c r="J70" s="35">
        <f t="shared" si="24"/>
        <v>5</v>
      </c>
      <c r="K70" s="35">
        <f t="shared" si="25"/>
        <v>4.6535732007112127</v>
      </c>
      <c r="L70" s="35">
        <f t="shared" si="26"/>
        <v>-0.10780901166512358</v>
      </c>
      <c r="N70" s="39" t="s">
        <v>127</v>
      </c>
    </row>
    <row r="71" spans="2:14" x14ac:dyDescent="0.25">
      <c r="B71" s="38">
        <f t="shared" si="18"/>
        <v>4347</v>
      </c>
      <c r="C71" s="38">
        <f t="shared" si="19"/>
        <v>1024</v>
      </c>
      <c r="D71" s="38">
        <f t="shared" si="20"/>
        <v>1024</v>
      </c>
      <c r="E71" s="35">
        <f t="shared" si="21"/>
        <v>1</v>
      </c>
      <c r="G71" s="35">
        <f t="shared" si="22"/>
        <v>7.845764189046089</v>
      </c>
      <c r="H71" s="35">
        <f t="shared" si="23"/>
        <v>417.05535055350555</v>
      </c>
      <c r="I71" s="35">
        <v>1.7</v>
      </c>
      <c r="J71" s="35">
        <f t="shared" si="24"/>
        <v>5</v>
      </c>
      <c r="K71" s="35">
        <f t="shared" si="25"/>
        <v>4.5457641890460891</v>
      </c>
      <c r="L71" s="35">
        <f t="shared" si="26"/>
        <v>-0.1003098592635574</v>
      </c>
      <c r="N71" s="39" t="s">
        <v>128</v>
      </c>
    </row>
    <row r="72" spans="2:14" x14ac:dyDescent="0.25">
      <c r="B72" s="38">
        <f t="shared" si="18"/>
        <v>4660</v>
      </c>
      <c r="C72" s="38">
        <f t="shared" si="19"/>
        <v>1024</v>
      </c>
      <c r="D72" s="38">
        <f t="shared" si="20"/>
        <v>1024</v>
      </c>
      <c r="E72" s="35">
        <f t="shared" si="21"/>
        <v>1</v>
      </c>
      <c r="G72" s="35">
        <f t="shared" si="22"/>
        <v>7.7454543297825316</v>
      </c>
      <c r="H72" s="35">
        <f t="shared" si="23"/>
        <v>447.08487084870848</v>
      </c>
      <c r="I72" s="35">
        <v>1.7</v>
      </c>
      <c r="J72" s="35">
        <f t="shared" si="24"/>
        <v>5</v>
      </c>
      <c r="K72" s="35">
        <f t="shared" si="25"/>
        <v>4.4454543297825317</v>
      </c>
      <c r="L72" s="35">
        <f t="shared" si="26"/>
        <v>-9.6684619141889527E-2</v>
      </c>
      <c r="N72" s="39" t="s">
        <v>129</v>
      </c>
    </row>
    <row r="73" spans="2:14" x14ac:dyDescent="0.25">
      <c r="B73" s="38">
        <f t="shared" si="18"/>
        <v>4983</v>
      </c>
      <c r="C73" s="38">
        <f t="shared" si="19"/>
        <v>1024</v>
      </c>
      <c r="D73" s="38">
        <f t="shared" si="20"/>
        <v>1024</v>
      </c>
      <c r="E73" s="35">
        <f t="shared" si="21"/>
        <v>1</v>
      </c>
      <c r="G73" s="35">
        <f t="shared" si="22"/>
        <v>7.648769710640642</v>
      </c>
      <c r="H73" s="35">
        <f t="shared" si="23"/>
        <v>478.07380073800732</v>
      </c>
      <c r="I73" s="35">
        <v>1.7</v>
      </c>
      <c r="J73" s="35">
        <f t="shared" si="24"/>
        <v>5</v>
      </c>
      <c r="K73" s="35">
        <f t="shared" si="25"/>
        <v>4.3487697106406422</v>
      </c>
      <c r="L73" s="35">
        <f t="shared" si="26"/>
        <v>-9.9014437304782987E-2</v>
      </c>
      <c r="N73" s="39" t="s">
        <v>130</v>
      </c>
    </row>
    <row r="74" spans="2:14" x14ac:dyDescent="0.25">
      <c r="B74" s="38">
        <f t="shared" si="18"/>
        <v>5337</v>
      </c>
      <c r="C74" s="38">
        <f t="shared" si="19"/>
        <v>1024</v>
      </c>
      <c r="D74" s="38">
        <f t="shared" si="20"/>
        <v>1024</v>
      </c>
      <c r="E74" s="35">
        <f t="shared" si="21"/>
        <v>1</v>
      </c>
      <c r="G74" s="35">
        <f t="shared" si="22"/>
        <v>7.5497552733358591</v>
      </c>
      <c r="H74" s="35">
        <f t="shared" si="23"/>
        <v>512.03690036900366</v>
      </c>
      <c r="I74" s="35">
        <v>1.7</v>
      </c>
      <c r="J74" s="35">
        <f t="shared" si="24"/>
        <v>5</v>
      </c>
      <c r="K74" s="35">
        <f t="shared" si="25"/>
        <v>4.2497552733358592</v>
      </c>
      <c r="L74" s="35">
        <f t="shared" si="26"/>
        <v>-9.7966968040784863E-2</v>
      </c>
      <c r="N74" s="39" t="s">
        <v>131</v>
      </c>
    </row>
    <row r="75" spans="2:14" x14ac:dyDescent="0.25">
      <c r="B75" s="38">
        <f t="shared" si="18"/>
        <v>5712</v>
      </c>
      <c r="C75" s="38">
        <f t="shared" si="19"/>
        <v>1024</v>
      </c>
      <c r="D75" s="38">
        <f t="shared" si="20"/>
        <v>1024</v>
      </c>
      <c r="E75" s="35">
        <f t="shared" si="21"/>
        <v>1</v>
      </c>
      <c r="G75" s="35">
        <f t="shared" si="22"/>
        <v>7.4517883052950751</v>
      </c>
      <c r="H75" s="35">
        <f t="shared" si="23"/>
        <v>548.01476014760146</v>
      </c>
      <c r="I75" s="35">
        <v>1.7</v>
      </c>
      <c r="J75" s="35">
        <f t="shared" si="24"/>
        <v>5</v>
      </c>
      <c r="K75" s="35">
        <f t="shared" si="25"/>
        <v>4.1517883052950744</v>
      </c>
      <c r="L75" s="35">
        <f t="shared" si="26"/>
        <v>-9.9299919805657666E-2</v>
      </c>
      <c r="N75" s="39" t="s">
        <v>132</v>
      </c>
    </row>
    <row r="76" spans="2:14" x14ac:dyDescent="0.25">
      <c r="B76" s="38">
        <f t="shared" si="18"/>
        <v>6119</v>
      </c>
      <c r="C76" s="38">
        <f t="shared" si="19"/>
        <v>1024</v>
      </c>
      <c r="D76" s="38">
        <f t="shared" si="20"/>
        <v>1024</v>
      </c>
      <c r="E76" s="35">
        <f t="shared" si="21"/>
        <v>1</v>
      </c>
      <c r="G76" s="35">
        <f t="shared" si="22"/>
        <v>7.3524883854894165</v>
      </c>
      <c r="H76" s="35">
        <f t="shared" si="23"/>
        <v>587.06273062730611</v>
      </c>
      <c r="I76" s="35">
        <v>1.7</v>
      </c>
      <c r="J76" s="35">
        <f t="shared" si="24"/>
        <v>5</v>
      </c>
      <c r="K76" s="35">
        <f t="shared" si="25"/>
        <v>4.0524883854894167</v>
      </c>
      <c r="L76" s="35">
        <f t="shared" si="26"/>
        <v>-9.9739995689271055E-2</v>
      </c>
      <c r="N76" s="39" t="s">
        <v>133</v>
      </c>
    </row>
    <row r="77" spans="2:14" x14ac:dyDescent="0.25">
      <c r="B77" s="38">
        <f t="shared" si="18"/>
        <v>6557</v>
      </c>
      <c r="C77" s="38">
        <f t="shared" si="19"/>
        <v>1024</v>
      </c>
      <c r="D77" s="38">
        <f t="shared" si="20"/>
        <v>1024</v>
      </c>
      <c r="E77" s="35">
        <f t="shared" si="21"/>
        <v>1</v>
      </c>
      <c r="G77" s="35">
        <f t="shared" si="22"/>
        <v>7.2527483898001464</v>
      </c>
      <c r="H77" s="35">
        <f t="shared" si="23"/>
        <v>629.08487084870831</v>
      </c>
      <c r="I77" s="35">
        <v>1.7</v>
      </c>
      <c r="J77" s="35">
        <f t="shared" si="24"/>
        <v>5</v>
      </c>
      <c r="K77" s="35">
        <f t="shared" si="25"/>
        <v>3.9527483898001456</v>
      </c>
      <c r="L77" s="35">
        <f t="shared" si="26"/>
        <v>-9.9667681698342392E-2</v>
      </c>
      <c r="N77" s="39" t="s">
        <v>134</v>
      </c>
    </row>
    <row r="78" spans="2:14" x14ac:dyDescent="0.25">
      <c r="B78" s="38">
        <f t="shared" si="18"/>
        <v>7026</v>
      </c>
      <c r="C78" s="38">
        <f t="shared" si="19"/>
        <v>1024</v>
      </c>
      <c r="D78" s="38">
        <f t="shared" si="20"/>
        <v>1024</v>
      </c>
      <c r="E78" s="35">
        <f t="shared" si="21"/>
        <v>1</v>
      </c>
      <c r="G78" s="35">
        <f t="shared" si="22"/>
        <v>7.1530807081018031</v>
      </c>
      <c r="H78" s="35">
        <f t="shared" si="23"/>
        <v>674.08118081180805</v>
      </c>
      <c r="I78" s="35">
        <v>1.7</v>
      </c>
      <c r="J78" s="35">
        <f t="shared" si="24"/>
        <v>5</v>
      </c>
      <c r="K78" s="35">
        <f t="shared" si="25"/>
        <v>3.8530807081018033</v>
      </c>
      <c r="L78" s="35">
        <f t="shared" si="26"/>
        <v>-9.9179712845510082E-2</v>
      </c>
      <c r="N78" s="39" t="s">
        <v>135</v>
      </c>
    </row>
    <row r="79" spans="2:14" x14ac:dyDescent="0.25">
      <c r="B79" s="38">
        <f t="shared" si="18"/>
        <v>7526</v>
      </c>
      <c r="C79" s="38">
        <f t="shared" si="19"/>
        <v>1024</v>
      </c>
      <c r="D79" s="38">
        <f t="shared" si="20"/>
        <v>1024</v>
      </c>
      <c r="E79" s="35">
        <f t="shared" si="21"/>
        <v>1</v>
      </c>
      <c r="G79" s="35">
        <f t="shared" si="22"/>
        <v>7.053900995256293</v>
      </c>
      <c r="H79" s="35">
        <f t="shared" si="23"/>
        <v>722.05166051660512</v>
      </c>
      <c r="I79" s="35">
        <v>1.7</v>
      </c>
      <c r="J79" s="35">
        <f t="shared" si="24"/>
        <v>5</v>
      </c>
      <c r="K79" s="35">
        <f t="shared" si="25"/>
        <v>3.7539009952562932</v>
      </c>
      <c r="L79" s="35">
        <f t="shared" si="26"/>
        <v>-0.10781862503675477</v>
      </c>
      <c r="N79" s="39" t="s">
        <v>136</v>
      </c>
    </row>
    <row r="80" spans="2:14" x14ac:dyDescent="0.25">
      <c r="B80" s="38">
        <f t="shared" si="18"/>
        <v>8110</v>
      </c>
      <c r="C80" s="38">
        <f t="shared" si="19"/>
        <v>1024</v>
      </c>
      <c r="D80" s="38">
        <f t="shared" si="20"/>
        <v>1024</v>
      </c>
      <c r="E80" s="35">
        <f t="shared" si="21"/>
        <v>1</v>
      </c>
      <c r="G80" s="35">
        <f t="shared" si="22"/>
        <v>6.9460823702195391</v>
      </c>
      <c r="H80" s="35">
        <f t="shared" si="23"/>
        <v>778.08118081180805</v>
      </c>
      <c r="I80" s="35">
        <v>1.7</v>
      </c>
      <c r="J80" s="35">
        <f t="shared" si="24"/>
        <v>5</v>
      </c>
      <c r="K80" s="35">
        <f t="shared" si="25"/>
        <v>3.6460823702195384</v>
      </c>
      <c r="L80" s="35">
        <f t="shared" si="26"/>
        <v>-9.3550589695971631E-2</v>
      </c>
      <c r="N80" s="39" t="s">
        <v>137</v>
      </c>
    </row>
    <row r="81" spans="2:14" x14ac:dyDescent="0.25">
      <c r="B81" s="38">
        <f t="shared" si="18"/>
        <v>8328</v>
      </c>
      <c r="C81" s="38">
        <f t="shared" si="19"/>
        <v>1024</v>
      </c>
      <c r="D81" s="38">
        <f t="shared" si="20"/>
        <v>1064</v>
      </c>
      <c r="E81" s="35">
        <f t="shared" si="21"/>
        <v>1.0390625</v>
      </c>
      <c r="G81" s="35">
        <f t="shared" si="22"/>
        <v>6.9078142160247564</v>
      </c>
      <c r="H81" s="35">
        <f t="shared" si="23"/>
        <v>798.99630996309963</v>
      </c>
      <c r="I81" s="35">
        <v>1.7</v>
      </c>
      <c r="J81" s="35">
        <f t="shared" si="24"/>
        <v>5.0552824355011898</v>
      </c>
      <c r="K81" s="35">
        <f t="shared" si="25"/>
        <v>3.5525317805235668</v>
      </c>
      <c r="L81" s="35">
        <f t="shared" si="26"/>
        <v>-0.10458890127720011</v>
      </c>
      <c r="N81" s="39" t="s">
        <v>138</v>
      </c>
    </row>
    <row r="82" spans="2:14" x14ac:dyDescent="0.25">
      <c r="B82" s="38">
        <f t="shared" si="18"/>
        <v>8328</v>
      </c>
      <c r="C82" s="38">
        <f t="shared" si="19"/>
        <v>1024</v>
      </c>
      <c r="D82" s="38">
        <f t="shared" si="20"/>
        <v>1144</v>
      </c>
      <c r="E82" s="35">
        <f t="shared" si="21"/>
        <v>1.1171875</v>
      </c>
      <c r="G82" s="35">
        <f t="shared" si="22"/>
        <v>6.9078142160247564</v>
      </c>
      <c r="H82" s="35">
        <f t="shared" si="23"/>
        <v>798.99630996309963</v>
      </c>
      <c r="I82" s="35">
        <v>1.7</v>
      </c>
      <c r="J82" s="35">
        <f t="shared" si="24"/>
        <v>5.1598713367783899</v>
      </c>
      <c r="K82" s="35">
        <f t="shared" si="25"/>
        <v>3.4479428792463667</v>
      </c>
      <c r="L82" s="35">
        <f t="shared" si="26"/>
        <v>-9.7516505914262197E-2</v>
      </c>
      <c r="N82" s="39" t="s">
        <v>139</v>
      </c>
    </row>
    <row r="83" spans="2:14" x14ac:dyDescent="0.25">
      <c r="B83" s="38">
        <f t="shared" si="18"/>
        <v>8328</v>
      </c>
      <c r="C83" s="38">
        <f t="shared" si="19"/>
        <v>1152</v>
      </c>
      <c r="D83" s="38">
        <f t="shared" si="20"/>
        <v>1088</v>
      </c>
      <c r="E83" s="35">
        <f t="shared" si="21"/>
        <v>1.1953125</v>
      </c>
      <c r="G83" s="35">
        <f t="shared" si="22"/>
        <v>6.9078142160247564</v>
      </c>
      <c r="H83" s="35">
        <f t="shared" si="23"/>
        <v>798.99630996309963</v>
      </c>
      <c r="I83" s="35">
        <v>1.7</v>
      </c>
      <c r="J83" s="35">
        <f t="shared" si="24"/>
        <v>5.2573878426926521</v>
      </c>
      <c r="K83" s="35">
        <f t="shared" si="25"/>
        <v>3.3504263733321045</v>
      </c>
      <c r="L83" s="35">
        <f t="shared" si="26"/>
        <v>-9.9339214771977602E-2</v>
      </c>
      <c r="N83" s="39" t="s">
        <v>140</v>
      </c>
    </row>
    <row r="84" spans="2:14" x14ac:dyDescent="0.25">
      <c r="B84" s="38">
        <f t="shared" si="18"/>
        <v>8328</v>
      </c>
      <c r="C84" s="38">
        <f t="shared" si="19"/>
        <v>1280</v>
      </c>
      <c r="D84" s="38">
        <f t="shared" si="20"/>
        <v>1049</v>
      </c>
      <c r="E84" s="35">
        <f t="shared" si="21"/>
        <v>1.280517578125</v>
      </c>
      <c r="G84" s="35">
        <f t="shared" si="22"/>
        <v>6.9078142160247564</v>
      </c>
      <c r="H84" s="35">
        <f t="shared" si="23"/>
        <v>798.99630996309963</v>
      </c>
      <c r="I84" s="35">
        <v>1.7</v>
      </c>
      <c r="J84" s="35">
        <f t="shared" si="24"/>
        <v>5.3567270574646297</v>
      </c>
      <c r="K84" s="35">
        <f t="shared" si="25"/>
        <v>3.2510871585601269</v>
      </c>
      <c r="L84" s="35">
        <f t="shared" si="26"/>
        <v>-0.10973182806663662</v>
      </c>
      <c r="N84" s="39" t="s">
        <v>141</v>
      </c>
    </row>
    <row r="85" spans="2:14" x14ac:dyDescent="0.25">
      <c r="B85" s="38">
        <f t="shared" si="18"/>
        <v>8328</v>
      </c>
      <c r="C85" s="38">
        <f t="shared" si="19"/>
        <v>1408</v>
      </c>
      <c r="D85" s="38">
        <f t="shared" si="20"/>
        <v>1029</v>
      </c>
      <c r="E85" s="35">
        <f t="shared" si="21"/>
        <v>1.3817138671875</v>
      </c>
      <c r="G85" s="35">
        <f t="shared" si="22"/>
        <v>6.9078142160247564</v>
      </c>
      <c r="H85" s="35">
        <f t="shared" si="23"/>
        <v>798.99630996309963</v>
      </c>
      <c r="I85" s="35">
        <v>1.7</v>
      </c>
      <c r="J85" s="35">
        <f t="shared" si="24"/>
        <v>5.4664588855312664</v>
      </c>
      <c r="K85" s="35">
        <f t="shared" si="25"/>
        <v>3.1413553304934902</v>
      </c>
      <c r="L85" s="35">
        <f t="shared" si="26"/>
        <v>-8.70504187779364E-2</v>
      </c>
      <c r="N85" s="39" t="s">
        <v>142</v>
      </c>
    </row>
    <row r="86" spans="2:14" x14ac:dyDescent="0.25">
      <c r="B86" s="38">
        <f t="shared" si="18"/>
        <v>8328</v>
      </c>
      <c r="C86" s="38">
        <f t="shared" si="19"/>
        <v>1408</v>
      </c>
      <c r="D86" s="38">
        <f t="shared" si="20"/>
        <v>1093</v>
      </c>
      <c r="E86" s="35">
        <f t="shared" si="21"/>
        <v>1.4676513671875</v>
      </c>
      <c r="G86" s="35">
        <f t="shared" si="22"/>
        <v>6.9078142160247564</v>
      </c>
      <c r="H86" s="35">
        <f t="shared" si="23"/>
        <v>798.99630996309963</v>
      </c>
      <c r="I86" s="35">
        <v>1.7</v>
      </c>
      <c r="J86" s="35">
        <f t="shared" si="24"/>
        <v>5.5535093043092028</v>
      </c>
      <c r="K86" s="35">
        <f t="shared" si="25"/>
        <v>3.0543049117155538</v>
      </c>
      <c r="L86" s="35">
        <f t="shared" si="26"/>
        <v>-0.1042557309561607</v>
      </c>
      <c r="N86" s="39" t="s">
        <v>143</v>
      </c>
    </row>
    <row r="87" spans="2:14" x14ac:dyDescent="0.25">
      <c r="B87" s="38">
        <f t="shared" si="18"/>
        <v>8328</v>
      </c>
      <c r="C87" s="38">
        <f t="shared" si="19"/>
        <v>1536</v>
      </c>
      <c r="D87" s="38">
        <f t="shared" si="20"/>
        <v>1077</v>
      </c>
      <c r="E87" s="35">
        <f t="shared" si="21"/>
        <v>1.57763671875</v>
      </c>
      <c r="G87" s="35">
        <f t="shared" si="22"/>
        <v>6.9078142160247564</v>
      </c>
      <c r="H87" s="35">
        <f t="shared" si="23"/>
        <v>798.99630996309963</v>
      </c>
      <c r="I87" s="35">
        <v>1.7</v>
      </c>
      <c r="J87" s="35">
        <f t="shared" si="24"/>
        <v>5.6577650352653635</v>
      </c>
      <c r="K87" s="35">
        <f t="shared" si="25"/>
        <v>2.9500491807593932</v>
      </c>
      <c r="L87" s="35">
        <f t="shared" si="26"/>
        <v>-9.6600564406833733E-2</v>
      </c>
      <c r="N87" s="39" t="s">
        <v>144</v>
      </c>
    </row>
    <row r="88" spans="2:14" x14ac:dyDescent="0.25">
      <c r="B88" s="38">
        <f t="shared" si="18"/>
        <v>8328</v>
      </c>
      <c r="C88" s="38">
        <f t="shared" si="19"/>
        <v>1664</v>
      </c>
      <c r="D88" s="38">
        <f t="shared" si="20"/>
        <v>1063</v>
      </c>
      <c r="E88" s="35">
        <f t="shared" si="21"/>
        <v>1.6868896484375</v>
      </c>
      <c r="G88" s="35">
        <f t="shared" si="22"/>
        <v>6.9078142160247564</v>
      </c>
      <c r="H88" s="35">
        <f t="shared" si="23"/>
        <v>798.99630996309963</v>
      </c>
      <c r="I88" s="35">
        <v>1.7</v>
      </c>
      <c r="J88" s="35">
        <f t="shared" si="24"/>
        <v>5.7543655996721972</v>
      </c>
      <c r="K88" s="35">
        <f t="shared" si="25"/>
        <v>2.8534486163525594</v>
      </c>
      <c r="L88" s="35">
        <f t="shared" si="26"/>
        <v>-0.10283787183596882</v>
      </c>
      <c r="N88" s="39" t="s">
        <v>145</v>
      </c>
    </row>
    <row r="89" spans="2:14" x14ac:dyDescent="0.25">
      <c r="B89" s="38">
        <f t="shared" si="18"/>
        <v>8328</v>
      </c>
      <c r="C89" s="38">
        <f t="shared" si="19"/>
        <v>1792</v>
      </c>
      <c r="D89" s="38">
        <f t="shared" si="20"/>
        <v>1060</v>
      </c>
      <c r="E89" s="35">
        <f t="shared" si="21"/>
        <v>1.8115234375</v>
      </c>
      <c r="G89" s="35">
        <f t="shared" si="22"/>
        <v>6.9078142160247564</v>
      </c>
      <c r="H89" s="35">
        <f t="shared" si="23"/>
        <v>798.99630996309963</v>
      </c>
      <c r="I89" s="35">
        <v>1.7</v>
      </c>
      <c r="J89" s="35">
        <f t="shared" si="24"/>
        <v>5.857203471508166</v>
      </c>
      <c r="K89" s="35">
        <f t="shared" si="25"/>
        <v>2.7506107445165906</v>
      </c>
      <c r="L89" s="35">
        <f t="shared" si="26"/>
        <v>-9.6811036214377921E-2</v>
      </c>
      <c r="N89" s="39" t="s">
        <v>146</v>
      </c>
    </row>
    <row r="90" spans="2:14" x14ac:dyDescent="0.25">
      <c r="B90" s="38">
        <f t="shared" si="18"/>
        <v>8328</v>
      </c>
      <c r="C90" s="38">
        <f t="shared" si="19"/>
        <v>1920</v>
      </c>
      <c r="D90" s="38">
        <f t="shared" si="20"/>
        <v>1058</v>
      </c>
      <c r="E90" s="35">
        <f t="shared" si="21"/>
        <v>1.937255859375</v>
      </c>
      <c r="G90" s="35">
        <f t="shared" si="22"/>
        <v>6.9078142160247564</v>
      </c>
      <c r="H90" s="35">
        <f t="shared" si="23"/>
        <v>798.99630996309963</v>
      </c>
      <c r="I90" s="35">
        <v>1.7</v>
      </c>
      <c r="J90" s="35">
        <f t="shared" si="24"/>
        <v>5.9540145077225439</v>
      </c>
      <c r="K90" s="35">
        <f t="shared" si="25"/>
        <v>2.6537997083022127</v>
      </c>
      <c r="L90" s="35">
        <f t="shared" si="26"/>
        <v>-0.10126792777864591</v>
      </c>
      <c r="N90" s="39" t="s">
        <v>147</v>
      </c>
    </row>
    <row r="91" spans="2:14" x14ac:dyDescent="0.25">
      <c r="B91" s="38">
        <f t="shared" si="18"/>
        <v>8328</v>
      </c>
      <c r="C91" s="38">
        <f t="shared" si="19"/>
        <v>2048</v>
      </c>
      <c r="D91" s="38">
        <f t="shared" si="20"/>
        <v>1064</v>
      </c>
      <c r="E91" s="35">
        <f t="shared" si="21"/>
        <v>2.078125</v>
      </c>
      <c r="G91" s="35">
        <f t="shared" si="22"/>
        <v>6.9078142160247564</v>
      </c>
      <c r="H91" s="35">
        <f t="shared" si="23"/>
        <v>798.99630996309963</v>
      </c>
      <c r="I91" s="35">
        <v>1.7</v>
      </c>
      <c r="J91" s="35">
        <f t="shared" si="24"/>
        <v>6.0552824355011898</v>
      </c>
      <c r="K91" s="35">
        <f t="shared" si="25"/>
        <v>2.5525317805235668</v>
      </c>
      <c r="L91" s="35">
        <f t="shared" si="26"/>
        <v>-9.8269596206922216E-2</v>
      </c>
      <c r="N91" s="39" t="s">
        <v>148</v>
      </c>
    </row>
    <row r="92" spans="2:14" x14ac:dyDescent="0.25">
      <c r="B92" s="38">
        <f t="shared" si="18"/>
        <v>8328</v>
      </c>
      <c r="C92" s="38">
        <f t="shared" si="19"/>
        <v>2176</v>
      </c>
      <c r="D92" s="38">
        <f t="shared" si="20"/>
        <v>1072</v>
      </c>
      <c r="E92" s="35">
        <f t="shared" si="21"/>
        <v>2.224609375</v>
      </c>
      <c r="G92" s="35">
        <f t="shared" si="22"/>
        <v>6.9078142160247564</v>
      </c>
      <c r="H92" s="35">
        <f t="shared" si="23"/>
        <v>798.99630996309963</v>
      </c>
      <c r="I92" s="35">
        <v>1.7</v>
      </c>
      <c r="J92" s="35">
        <f t="shared" si="24"/>
        <v>6.153552031708112</v>
      </c>
      <c r="K92" s="35">
        <f t="shared" si="25"/>
        <v>2.4542621843166446</v>
      </c>
      <c r="L92" s="35">
        <f t="shared" si="26"/>
        <v>-0.1028041038060552</v>
      </c>
      <c r="N92" s="39" t="s">
        <v>149</v>
      </c>
    </row>
    <row r="93" spans="2:14" x14ac:dyDescent="0.25">
      <c r="B93" s="38">
        <f t="shared" si="18"/>
        <v>8328</v>
      </c>
      <c r="C93" s="38">
        <f t="shared" si="19"/>
        <v>2432</v>
      </c>
      <c r="D93" s="38">
        <f t="shared" si="20"/>
        <v>1030</v>
      </c>
      <c r="E93" s="35">
        <f t="shared" si="21"/>
        <v>2.388916015625</v>
      </c>
      <c r="G93" s="35">
        <f t="shared" si="22"/>
        <v>6.9078142160247564</v>
      </c>
      <c r="H93" s="35">
        <f t="shared" si="23"/>
        <v>798.99630996309963</v>
      </c>
      <c r="I93" s="35">
        <v>1.7</v>
      </c>
      <c r="J93" s="35">
        <f t="shared" si="24"/>
        <v>6.2563561355141672</v>
      </c>
      <c r="K93" s="35">
        <f t="shared" si="25"/>
        <v>2.3514580805105894</v>
      </c>
      <c r="L93" s="35">
        <f t="shared" si="26"/>
        <v>-0.10996607873164788</v>
      </c>
      <c r="N93" s="39" t="s">
        <v>150</v>
      </c>
    </row>
    <row r="94" spans="2:14" x14ac:dyDescent="0.25">
      <c r="B94" s="38">
        <f t="shared" si="18"/>
        <v>8328</v>
      </c>
      <c r="C94" s="38">
        <f t="shared" si="19"/>
        <v>2560</v>
      </c>
      <c r="D94" s="38">
        <f t="shared" si="20"/>
        <v>1056</v>
      </c>
      <c r="E94" s="35">
        <f t="shared" si="21"/>
        <v>2.578125</v>
      </c>
      <c r="G94" s="35">
        <f t="shared" si="22"/>
        <v>6.9078142160247564</v>
      </c>
      <c r="H94" s="35">
        <f t="shared" si="23"/>
        <v>798.99630996309963</v>
      </c>
      <c r="I94" s="35">
        <v>1.7</v>
      </c>
      <c r="J94" s="35">
        <f t="shared" si="24"/>
        <v>6.3663222142458151</v>
      </c>
      <c r="K94" s="35">
        <f t="shared" si="25"/>
        <v>2.2414920017789415</v>
      </c>
      <c r="L94" s="35">
        <f t="shared" si="26"/>
        <v>-8.8041346253435293E-2</v>
      </c>
      <c r="N94" s="39" t="s">
        <v>151</v>
      </c>
    </row>
    <row r="95" spans="2:14" x14ac:dyDescent="0.25">
      <c r="B95" s="38">
        <f t="shared" si="18"/>
        <v>8328</v>
      </c>
      <c r="C95" s="38">
        <f t="shared" si="19"/>
        <v>2688</v>
      </c>
      <c r="D95" s="38">
        <f t="shared" si="20"/>
        <v>1069</v>
      </c>
      <c r="E95" s="35">
        <f t="shared" si="21"/>
        <v>2.7403564453125</v>
      </c>
      <c r="G95" s="35">
        <f t="shared" si="22"/>
        <v>6.9078142160247564</v>
      </c>
      <c r="H95" s="35">
        <f t="shared" si="23"/>
        <v>798.99630996309963</v>
      </c>
      <c r="I95" s="35">
        <v>1.7</v>
      </c>
      <c r="J95" s="35">
        <f t="shared" si="24"/>
        <v>6.4543635604992504</v>
      </c>
      <c r="K95" s="35">
        <f t="shared" si="25"/>
        <v>2.1534506555255062</v>
      </c>
      <c r="L95" s="35">
        <f t="shared" si="26"/>
        <v>-9.98655318047037E-2</v>
      </c>
      <c r="N95" s="39" t="s">
        <v>152</v>
      </c>
    </row>
    <row r="96" spans="2:14" x14ac:dyDescent="0.25">
      <c r="B96" s="38">
        <f t="shared" si="18"/>
        <v>8328</v>
      </c>
      <c r="C96" s="38">
        <f t="shared" si="19"/>
        <v>2944</v>
      </c>
      <c r="D96" s="38">
        <f t="shared" si="20"/>
        <v>1046</v>
      </c>
      <c r="E96" s="35">
        <f t="shared" si="21"/>
        <v>2.936767578125</v>
      </c>
      <c r="G96" s="35">
        <f t="shared" si="22"/>
        <v>6.9078142160247564</v>
      </c>
      <c r="H96" s="35">
        <f t="shared" si="23"/>
        <v>798.99630996309963</v>
      </c>
      <c r="I96" s="35">
        <v>1.7</v>
      </c>
      <c r="J96" s="35">
        <f t="shared" si="24"/>
        <v>6.5542290923039541</v>
      </c>
      <c r="K96" s="35">
        <f t="shared" si="25"/>
        <v>2.0535851237208025</v>
      </c>
      <c r="L96" s="35">
        <f t="shared" si="26"/>
        <v>-0.11117066627253713</v>
      </c>
      <c r="N96" s="39" t="s">
        <v>153</v>
      </c>
    </row>
    <row r="97" spans="2:14" x14ac:dyDescent="0.25">
      <c r="B97" s="38">
        <f t="shared" si="18"/>
        <v>16667</v>
      </c>
      <c r="C97" s="38">
        <f t="shared" si="19"/>
        <v>1536</v>
      </c>
      <c r="D97" s="38">
        <f t="shared" si="20"/>
        <v>1082</v>
      </c>
      <c r="E97" s="35">
        <f t="shared" si="21"/>
        <v>1.5849609375</v>
      </c>
      <c r="G97" s="35">
        <f t="shared" si="22"/>
        <v>5.906861741996237</v>
      </c>
      <c r="H97" s="35">
        <f t="shared" si="23"/>
        <v>1599.0479704797044</v>
      </c>
      <c r="I97" s="35">
        <v>1.7</v>
      </c>
      <c r="J97" s="35">
        <f t="shared" si="24"/>
        <v>5.6644472845479719</v>
      </c>
      <c r="K97" s="35">
        <f t="shared" si="25"/>
        <v>1.9424144574482654</v>
      </c>
      <c r="L97" s="35">
        <f t="shared" si="26"/>
        <v>-8.9918315124225323E-2</v>
      </c>
      <c r="N97" s="39" t="s">
        <v>154</v>
      </c>
    </row>
    <row r="98" spans="2:14" x14ac:dyDescent="0.25">
      <c r="B98" s="38">
        <f t="shared" si="18"/>
        <v>16667</v>
      </c>
      <c r="C98" s="38">
        <f t="shared" si="19"/>
        <v>1664</v>
      </c>
      <c r="D98" s="38">
        <f t="shared" si="20"/>
        <v>1063</v>
      </c>
      <c r="E98" s="35">
        <f t="shared" si="21"/>
        <v>1.6868896484375</v>
      </c>
      <c r="G98" s="35">
        <f t="shared" si="22"/>
        <v>5.906861741996237</v>
      </c>
      <c r="H98" s="35">
        <f t="shared" si="23"/>
        <v>1599.0479704797044</v>
      </c>
      <c r="I98" s="35">
        <v>1.7</v>
      </c>
      <c r="J98" s="35">
        <f t="shared" si="24"/>
        <v>5.7543655996721972</v>
      </c>
      <c r="K98" s="35">
        <f t="shared" si="25"/>
        <v>1.85249614232404</v>
      </c>
      <c r="L98" s="35">
        <f t="shared" si="26"/>
        <v>-0.10962703749860747</v>
      </c>
      <c r="N98" s="39" t="s">
        <v>155</v>
      </c>
    </row>
    <row r="99" spans="2:14" x14ac:dyDescent="0.25">
      <c r="B99" s="38">
        <f t="shared" ref="B99:B130" si="27">VALUE(MID(N99,6,SEARCH(",",N99,1)-6))</f>
        <v>16667</v>
      </c>
      <c r="C99" s="38">
        <f t="shared" ref="C99:C130" si="28">VALUE(MID($N99,FIND("*",SUBSTITUTE($N99,",","*",1),1)+1,FIND("*",SUBSTITUTE($N99,",","*",2),1)-FIND("*",SUBSTITUTE($N99,",","*",1),1)-1))</f>
        <v>1792</v>
      </c>
      <c r="D99" s="38">
        <f t="shared" ref="D99:D130" si="29">VALUE(MID($N99,FIND("*",SUBSTITUTE($N99,",","*",2),1)+1,FIND("*",SUBSTITUTE($N99,",","*",3),1)-FIND("*",SUBSTITUTE($N99,",","*",2),1)-1))</f>
        <v>1065</v>
      </c>
      <c r="E99" s="35">
        <f t="shared" ref="E99:E130" si="30">((C99/1024)*(D99/1024))</f>
        <v>1.820068359375</v>
      </c>
      <c r="G99" s="35">
        <f t="shared" ref="G99:G130" si="31">-LOG(B99*0.000001,2)</f>
        <v>5.906861741996237</v>
      </c>
      <c r="H99" s="35">
        <f t="shared" ref="H99:H130" si="32">B99*0.000001*3198/0.033333</f>
        <v>1599.0479704797044</v>
      </c>
      <c r="I99" s="35">
        <v>1.7</v>
      </c>
      <c r="J99" s="35">
        <f t="shared" ref="J99:J130" si="33">LOG((C99/1024)*(D99/1024)*100/3.125,2)</f>
        <v>5.8639926371708047</v>
      </c>
      <c r="K99" s="35">
        <f t="shared" ref="K99:K130" si="34">I99+G99-J99</f>
        <v>1.7428691048254326</v>
      </c>
      <c r="L99" s="35">
        <f t="shared" ref="L99:L130" si="35">K100-K99</f>
        <v>-9.0021870551739269E-2</v>
      </c>
      <c r="N99" s="39" t="s">
        <v>156</v>
      </c>
    </row>
    <row r="100" spans="2:14" x14ac:dyDescent="0.25">
      <c r="B100" s="38">
        <f t="shared" si="27"/>
        <v>16667</v>
      </c>
      <c r="C100" s="38">
        <f t="shared" si="28"/>
        <v>1920</v>
      </c>
      <c r="D100" s="38">
        <f t="shared" si="29"/>
        <v>1058</v>
      </c>
      <c r="E100" s="35">
        <f t="shared" si="30"/>
        <v>1.937255859375</v>
      </c>
      <c r="G100" s="35">
        <f t="shared" si="31"/>
        <v>5.906861741996237</v>
      </c>
      <c r="H100" s="35">
        <f t="shared" si="32"/>
        <v>1599.0479704797044</v>
      </c>
      <c r="I100" s="35">
        <v>1.7</v>
      </c>
      <c r="J100" s="35">
        <f t="shared" si="33"/>
        <v>5.9540145077225439</v>
      </c>
      <c r="K100" s="35">
        <f t="shared" si="34"/>
        <v>1.6528472342736933</v>
      </c>
      <c r="L100" s="35">
        <f t="shared" si="35"/>
        <v>-0.10126792777864591</v>
      </c>
      <c r="N100" s="39" t="s">
        <v>157</v>
      </c>
    </row>
    <row r="101" spans="2:14" x14ac:dyDescent="0.25">
      <c r="B101" s="38">
        <f t="shared" si="27"/>
        <v>16667</v>
      </c>
      <c r="C101" s="38">
        <f t="shared" si="28"/>
        <v>2048</v>
      </c>
      <c r="D101" s="38">
        <f t="shared" si="29"/>
        <v>1064</v>
      </c>
      <c r="E101" s="35">
        <f t="shared" si="30"/>
        <v>2.078125</v>
      </c>
      <c r="G101" s="35">
        <f t="shared" si="31"/>
        <v>5.906861741996237</v>
      </c>
      <c r="H101" s="35">
        <f t="shared" si="32"/>
        <v>1599.0479704797044</v>
      </c>
      <c r="I101" s="35">
        <v>1.7</v>
      </c>
      <c r="J101" s="35">
        <f t="shared" si="33"/>
        <v>6.0552824355011898</v>
      </c>
      <c r="K101" s="35">
        <f t="shared" si="34"/>
        <v>1.5515793064950474</v>
      </c>
      <c r="L101" s="35">
        <f t="shared" si="35"/>
        <v>-9.8269596206922216E-2</v>
      </c>
      <c r="N101" s="39" t="s">
        <v>158</v>
      </c>
    </row>
    <row r="102" spans="2:14" x14ac:dyDescent="0.25">
      <c r="B102" s="38">
        <f t="shared" si="27"/>
        <v>16667</v>
      </c>
      <c r="C102" s="38">
        <f t="shared" si="28"/>
        <v>2176</v>
      </c>
      <c r="D102" s="38">
        <f t="shared" si="29"/>
        <v>1072</v>
      </c>
      <c r="E102" s="35">
        <f t="shared" si="30"/>
        <v>2.224609375</v>
      </c>
      <c r="G102" s="35">
        <f t="shared" si="31"/>
        <v>5.906861741996237</v>
      </c>
      <c r="H102" s="35">
        <f t="shared" si="32"/>
        <v>1599.0479704797044</v>
      </c>
      <c r="I102" s="35">
        <v>1.7</v>
      </c>
      <c r="J102" s="35">
        <f t="shared" si="33"/>
        <v>6.153552031708112</v>
      </c>
      <c r="K102" s="35">
        <f t="shared" si="34"/>
        <v>1.4533097102881252</v>
      </c>
      <c r="L102" s="35">
        <f t="shared" si="35"/>
        <v>-0.10839595205040808</v>
      </c>
      <c r="N102" s="39" t="s">
        <v>159</v>
      </c>
    </row>
    <row r="103" spans="2:14" x14ac:dyDescent="0.25">
      <c r="B103" s="38">
        <f t="shared" si="27"/>
        <v>16667</v>
      </c>
      <c r="C103" s="38">
        <f t="shared" si="28"/>
        <v>2432</v>
      </c>
      <c r="D103" s="38">
        <f t="shared" si="29"/>
        <v>1034</v>
      </c>
      <c r="E103" s="35">
        <f t="shared" si="30"/>
        <v>2.398193359375</v>
      </c>
      <c r="G103" s="35">
        <f t="shared" si="31"/>
        <v>5.906861741996237</v>
      </c>
      <c r="H103" s="35">
        <f t="shared" si="32"/>
        <v>1599.0479704797044</v>
      </c>
      <c r="I103" s="35">
        <v>1.7</v>
      </c>
      <c r="J103" s="35">
        <f t="shared" si="33"/>
        <v>6.2619479837585201</v>
      </c>
      <c r="K103" s="35">
        <f t="shared" si="34"/>
        <v>1.3449137582377171</v>
      </c>
      <c r="L103" s="35">
        <f t="shared" si="35"/>
        <v>-9.4779073706110495E-2</v>
      </c>
      <c r="N103" s="39" t="s">
        <v>160</v>
      </c>
    </row>
    <row r="104" spans="2:14" x14ac:dyDescent="0.25">
      <c r="B104" s="38">
        <f t="shared" si="27"/>
        <v>16667</v>
      </c>
      <c r="C104" s="38">
        <f t="shared" si="28"/>
        <v>2560</v>
      </c>
      <c r="D104" s="38">
        <f t="shared" si="29"/>
        <v>1049</v>
      </c>
      <c r="E104" s="35">
        <f t="shared" si="30"/>
        <v>2.56103515625</v>
      </c>
      <c r="G104" s="35">
        <f t="shared" si="31"/>
        <v>5.906861741996237</v>
      </c>
      <c r="H104" s="35">
        <f t="shared" si="32"/>
        <v>1599.0479704797044</v>
      </c>
      <c r="I104" s="35">
        <v>1.7</v>
      </c>
      <c r="J104" s="35">
        <f t="shared" si="33"/>
        <v>6.3567270574646306</v>
      </c>
      <c r="K104" s="35">
        <f t="shared" si="34"/>
        <v>1.2501346845316066</v>
      </c>
      <c r="L104" s="35">
        <f t="shared" si="35"/>
        <v>-9.7636503034619793E-2</v>
      </c>
      <c r="N104" s="39" t="s">
        <v>161</v>
      </c>
    </row>
    <row r="105" spans="2:14" x14ac:dyDescent="0.25">
      <c r="B105" s="38">
        <f t="shared" si="27"/>
        <v>16667</v>
      </c>
      <c r="C105" s="38">
        <f t="shared" si="28"/>
        <v>2688</v>
      </c>
      <c r="D105" s="38">
        <f t="shared" si="29"/>
        <v>1069</v>
      </c>
      <c r="E105" s="35">
        <f t="shared" si="30"/>
        <v>2.7403564453125</v>
      </c>
      <c r="G105" s="35">
        <f t="shared" si="31"/>
        <v>5.906861741996237</v>
      </c>
      <c r="H105" s="35">
        <f t="shared" si="32"/>
        <v>1599.0479704797044</v>
      </c>
      <c r="I105" s="35">
        <v>1.7</v>
      </c>
      <c r="J105" s="35">
        <f t="shared" si="33"/>
        <v>6.4543635604992504</v>
      </c>
      <c r="K105" s="35">
        <f t="shared" si="34"/>
        <v>1.1524981814969868</v>
      </c>
      <c r="L105" s="35">
        <f t="shared" si="35"/>
        <v>-9.98655318047037E-2</v>
      </c>
      <c r="N105" s="39" t="s">
        <v>162</v>
      </c>
    </row>
    <row r="106" spans="2:14" x14ac:dyDescent="0.25">
      <c r="B106" s="38">
        <f t="shared" si="27"/>
        <v>16667</v>
      </c>
      <c r="C106" s="38">
        <f t="shared" si="28"/>
        <v>2944</v>
      </c>
      <c r="D106" s="38">
        <f t="shared" si="29"/>
        <v>1046</v>
      </c>
      <c r="E106" s="35">
        <f t="shared" si="30"/>
        <v>2.936767578125</v>
      </c>
      <c r="G106" s="35">
        <f t="shared" si="31"/>
        <v>5.906861741996237</v>
      </c>
      <c r="H106" s="35">
        <f t="shared" si="32"/>
        <v>1599.0479704797044</v>
      </c>
      <c r="I106" s="35">
        <v>1.7</v>
      </c>
      <c r="J106" s="35">
        <f t="shared" si="33"/>
        <v>6.5542290923039541</v>
      </c>
      <c r="K106" s="35">
        <f t="shared" si="34"/>
        <v>1.0526326496922831</v>
      </c>
      <c r="L106" s="35">
        <f t="shared" si="35"/>
        <v>-0.10643538515732498</v>
      </c>
      <c r="N106" s="39" t="s">
        <v>163</v>
      </c>
    </row>
    <row r="107" spans="2:14" x14ac:dyDescent="0.25">
      <c r="B107" s="38">
        <f t="shared" si="27"/>
        <v>16667</v>
      </c>
      <c r="C107" s="38">
        <f t="shared" si="28"/>
        <v>3200</v>
      </c>
      <c r="D107" s="38">
        <f t="shared" si="29"/>
        <v>1036</v>
      </c>
      <c r="E107" s="35">
        <f t="shared" si="30"/>
        <v>3.16162109375</v>
      </c>
      <c r="G107" s="35">
        <f t="shared" si="31"/>
        <v>5.906861741996237</v>
      </c>
      <c r="H107" s="35">
        <f t="shared" si="32"/>
        <v>1599.0479704797044</v>
      </c>
      <c r="I107" s="35">
        <v>1.7</v>
      </c>
      <c r="J107" s="35">
        <f t="shared" si="33"/>
        <v>6.6606644774612791</v>
      </c>
      <c r="K107" s="35">
        <f t="shared" si="34"/>
        <v>0.94619726453495812</v>
      </c>
      <c r="L107" s="35">
        <f t="shared" si="35"/>
        <v>-9.7038040309244344E-2</v>
      </c>
      <c r="N107" s="39" t="s">
        <v>164</v>
      </c>
    </row>
    <row r="108" spans="2:14" x14ac:dyDescent="0.25">
      <c r="B108" s="38">
        <f t="shared" si="27"/>
        <v>16667</v>
      </c>
      <c r="C108" s="38">
        <f t="shared" si="28"/>
        <v>3456</v>
      </c>
      <c r="D108" s="38">
        <f t="shared" si="29"/>
        <v>1026</v>
      </c>
      <c r="E108" s="35">
        <f t="shared" si="30"/>
        <v>3.381591796875</v>
      </c>
      <c r="G108" s="35">
        <f t="shared" si="31"/>
        <v>5.906861741996237</v>
      </c>
      <c r="H108" s="35">
        <f t="shared" si="32"/>
        <v>1599.0479704797044</v>
      </c>
      <c r="I108" s="35">
        <v>1.7</v>
      </c>
      <c r="J108" s="35">
        <f t="shared" si="33"/>
        <v>6.7577025177705234</v>
      </c>
      <c r="K108" s="35">
        <f t="shared" si="34"/>
        <v>0.84915922422571377</v>
      </c>
      <c r="L108" s="35">
        <f t="shared" si="35"/>
        <v>-0.10027847735704842</v>
      </c>
      <c r="N108" s="39" t="s">
        <v>165</v>
      </c>
    </row>
    <row r="109" spans="2:14" x14ac:dyDescent="0.25">
      <c r="B109" s="38">
        <f t="shared" si="27"/>
        <v>16667</v>
      </c>
      <c r="C109" s="38">
        <f t="shared" si="28"/>
        <v>3712</v>
      </c>
      <c r="D109" s="38">
        <f t="shared" si="29"/>
        <v>1024</v>
      </c>
      <c r="E109" s="35">
        <f t="shared" si="30"/>
        <v>3.625</v>
      </c>
      <c r="G109" s="35">
        <f t="shared" si="31"/>
        <v>5.906861741996237</v>
      </c>
      <c r="H109" s="35">
        <f t="shared" si="32"/>
        <v>1599.0479704797044</v>
      </c>
      <c r="I109" s="35">
        <v>1.7</v>
      </c>
      <c r="J109" s="35">
        <f t="shared" si="33"/>
        <v>6.8579809951275719</v>
      </c>
      <c r="K109" s="35">
        <f t="shared" si="34"/>
        <v>0.74888074686866535</v>
      </c>
      <c r="L109" s="35">
        <f t="shared" si="35"/>
        <v>-9.6215315259303935E-2</v>
      </c>
      <c r="N109" s="39" t="s">
        <v>166</v>
      </c>
    </row>
    <row r="110" spans="2:14" x14ac:dyDescent="0.25">
      <c r="B110" s="38">
        <f t="shared" si="27"/>
        <v>16667</v>
      </c>
      <c r="C110" s="38">
        <f t="shared" si="28"/>
        <v>3968</v>
      </c>
      <c r="D110" s="38">
        <f t="shared" si="29"/>
        <v>1024</v>
      </c>
      <c r="E110" s="35">
        <f t="shared" si="30"/>
        <v>3.875</v>
      </c>
      <c r="G110" s="35">
        <f t="shared" si="31"/>
        <v>5.906861741996237</v>
      </c>
      <c r="H110" s="35">
        <f t="shared" si="32"/>
        <v>1599.0479704797044</v>
      </c>
      <c r="I110" s="35">
        <v>1.7</v>
      </c>
      <c r="J110" s="35">
        <f t="shared" si="33"/>
        <v>6.9541963103868758</v>
      </c>
      <c r="K110" s="35">
        <f t="shared" si="34"/>
        <v>0.65266543160936141</v>
      </c>
      <c r="L110" s="35">
        <f t="shared" si="35"/>
        <v>-0.10561286135826453</v>
      </c>
      <c r="N110" s="39" t="s">
        <v>167</v>
      </c>
    </row>
    <row r="111" spans="2:14" x14ac:dyDescent="0.25">
      <c r="B111" s="38">
        <f t="shared" si="27"/>
        <v>16667</v>
      </c>
      <c r="C111" s="38">
        <f t="shared" si="28"/>
        <v>4224</v>
      </c>
      <c r="D111" s="38">
        <f t="shared" si="29"/>
        <v>1035</v>
      </c>
      <c r="E111" s="35">
        <f t="shared" si="30"/>
        <v>4.1693115234375</v>
      </c>
      <c r="G111" s="35">
        <f t="shared" si="31"/>
        <v>5.906861741996237</v>
      </c>
      <c r="H111" s="35">
        <f t="shared" si="32"/>
        <v>1599.0479704797044</v>
      </c>
      <c r="I111" s="35">
        <v>1.7</v>
      </c>
      <c r="J111" s="35">
        <f t="shared" si="33"/>
        <v>7.0598091717451403</v>
      </c>
      <c r="K111" s="35">
        <f t="shared" si="34"/>
        <v>0.54705257025109688</v>
      </c>
      <c r="L111" s="35">
        <f t="shared" si="35"/>
        <v>-9.8761072168071173E-2</v>
      </c>
      <c r="N111" s="39" t="s">
        <v>168</v>
      </c>
    </row>
    <row r="112" spans="2:14" x14ac:dyDescent="0.25">
      <c r="B112" s="38">
        <f t="shared" si="27"/>
        <v>16667</v>
      </c>
      <c r="C112" s="38">
        <f t="shared" si="28"/>
        <v>4480</v>
      </c>
      <c r="D112" s="38">
        <f t="shared" si="29"/>
        <v>1045</v>
      </c>
      <c r="E112" s="35">
        <f t="shared" si="30"/>
        <v>4.4647216796875</v>
      </c>
      <c r="G112" s="35">
        <f t="shared" si="31"/>
        <v>5.906861741996237</v>
      </c>
      <c r="H112" s="35">
        <f t="shared" si="32"/>
        <v>1599.0479704797044</v>
      </c>
      <c r="I112" s="35">
        <v>1.7</v>
      </c>
      <c r="J112" s="35">
        <f t="shared" si="33"/>
        <v>7.1585702439132115</v>
      </c>
      <c r="K112" s="35">
        <f t="shared" si="34"/>
        <v>0.44829149808302571</v>
      </c>
      <c r="L112" s="35">
        <f t="shared" si="35"/>
        <v>-0.10058452495362857</v>
      </c>
      <c r="N112" s="39" t="s">
        <v>169</v>
      </c>
    </row>
    <row r="113" spans="2:14" x14ac:dyDescent="0.25">
      <c r="B113" s="38">
        <f t="shared" si="27"/>
        <v>16667</v>
      </c>
      <c r="C113" s="38">
        <f t="shared" si="28"/>
        <v>4864</v>
      </c>
      <c r="D113" s="38">
        <f t="shared" si="29"/>
        <v>1032</v>
      </c>
      <c r="E113" s="35">
        <f t="shared" si="30"/>
        <v>4.787109375</v>
      </c>
      <c r="G113" s="35">
        <f t="shared" si="31"/>
        <v>5.906861741996237</v>
      </c>
      <c r="H113" s="35">
        <f t="shared" si="32"/>
        <v>1599.0479704797044</v>
      </c>
      <c r="I113" s="35">
        <v>1.7</v>
      </c>
      <c r="J113" s="35">
        <f t="shared" si="33"/>
        <v>7.2591547688668401</v>
      </c>
      <c r="K113" s="35">
        <f t="shared" si="34"/>
        <v>0.34770697312939713</v>
      </c>
      <c r="L113" s="35">
        <f t="shared" si="35"/>
        <v>-9.9968540897457991E-2</v>
      </c>
      <c r="N113" s="39" t="s">
        <v>170</v>
      </c>
    </row>
    <row r="114" spans="2:14" x14ac:dyDescent="0.25">
      <c r="B114" s="38">
        <f t="shared" si="27"/>
        <v>24995</v>
      </c>
      <c r="C114" s="38">
        <f t="shared" si="28"/>
        <v>3456</v>
      </c>
      <c r="D114" s="38">
        <f t="shared" si="29"/>
        <v>1038</v>
      </c>
      <c r="E114" s="35">
        <f t="shared" si="30"/>
        <v>3.421142578125</v>
      </c>
      <c r="G114" s="35">
        <f t="shared" si="31"/>
        <v>5.3222166627532888</v>
      </c>
      <c r="H114" s="35">
        <f t="shared" si="32"/>
        <v>2398.0442804428044</v>
      </c>
      <c r="I114" s="35">
        <v>1.7</v>
      </c>
      <c r="J114" s="35">
        <f t="shared" si="33"/>
        <v>6.7744782305213498</v>
      </c>
      <c r="K114" s="35">
        <f t="shared" si="34"/>
        <v>0.24773843223193914</v>
      </c>
      <c r="L114" s="35">
        <f t="shared" si="35"/>
        <v>-9.8917816992909913E-2</v>
      </c>
      <c r="N114" s="39" t="s">
        <v>171</v>
      </c>
    </row>
    <row r="115" spans="2:14" x14ac:dyDescent="0.25">
      <c r="B115" s="38">
        <f t="shared" si="27"/>
        <v>24995</v>
      </c>
      <c r="C115" s="38">
        <f t="shared" si="28"/>
        <v>3712</v>
      </c>
      <c r="D115" s="38">
        <f t="shared" si="29"/>
        <v>1035</v>
      </c>
      <c r="E115" s="35">
        <f t="shared" si="30"/>
        <v>3.6639404296875</v>
      </c>
      <c r="G115" s="35">
        <f t="shared" si="31"/>
        <v>5.3222166627532888</v>
      </c>
      <c r="H115" s="35">
        <f t="shared" si="32"/>
        <v>2398.0442804428044</v>
      </c>
      <c r="I115" s="35">
        <v>1.7</v>
      </c>
      <c r="J115" s="35">
        <f t="shared" si="33"/>
        <v>6.8733960475142597</v>
      </c>
      <c r="K115" s="35">
        <f t="shared" si="34"/>
        <v>0.14882061523902923</v>
      </c>
      <c r="L115" s="35">
        <f t="shared" si="35"/>
        <v>-0.10039099123049677</v>
      </c>
      <c r="N115" s="39" t="s">
        <v>172</v>
      </c>
    </row>
    <row r="116" spans="2:14" x14ac:dyDescent="0.25">
      <c r="B116" s="38">
        <f t="shared" si="27"/>
        <v>24995</v>
      </c>
      <c r="C116" s="38">
        <f t="shared" si="28"/>
        <v>3968</v>
      </c>
      <c r="D116" s="38">
        <f t="shared" si="29"/>
        <v>1038</v>
      </c>
      <c r="E116" s="35">
        <f t="shared" si="30"/>
        <v>3.927978515625</v>
      </c>
      <c r="G116" s="35">
        <f t="shared" si="31"/>
        <v>5.3222166627532888</v>
      </c>
      <c r="H116" s="35">
        <f t="shared" si="32"/>
        <v>2398.0442804428044</v>
      </c>
      <c r="I116" s="35">
        <v>1.7</v>
      </c>
      <c r="J116" s="35">
        <f t="shared" si="33"/>
        <v>6.9737870387447565</v>
      </c>
      <c r="K116" s="35">
        <f t="shared" si="34"/>
        <v>4.8429624008532457E-2</v>
      </c>
      <c r="L116" s="35">
        <f t="shared" si="35"/>
        <v>-9.7130523133462709E-2</v>
      </c>
      <c r="N116" s="39" t="s">
        <v>173</v>
      </c>
    </row>
    <row r="117" spans="2:14" x14ac:dyDescent="0.25">
      <c r="B117" s="38">
        <f t="shared" si="27"/>
        <v>24995</v>
      </c>
      <c r="C117" s="38">
        <f t="shared" si="28"/>
        <v>4224</v>
      </c>
      <c r="D117" s="38">
        <f t="shared" si="29"/>
        <v>1043</v>
      </c>
      <c r="E117" s="35">
        <f t="shared" si="30"/>
        <v>4.2015380859375</v>
      </c>
      <c r="G117" s="35">
        <f t="shared" si="31"/>
        <v>5.3222166627532888</v>
      </c>
      <c r="H117" s="35">
        <f t="shared" si="32"/>
        <v>2398.0442804428044</v>
      </c>
      <c r="I117" s="35">
        <v>1.7</v>
      </c>
      <c r="J117" s="35">
        <f t="shared" si="33"/>
        <v>7.0709175618782192</v>
      </c>
      <c r="K117" s="35">
        <f t="shared" si="34"/>
        <v>-4.8700899124930253E-2</v>
      </c>
      <c r="L117" s="35">
        <f t="shared" si="35"/>
        <v>-0.10041563395690112</v>
      </c>
      <c r="N117" s="39" t="s">
        <v>174</v>
      </c>
    </row>
    <row r="118" spans="2:14" x14ac:dyDescent="0.25">
      <c r="B118" s="38">
        <f t="shared" si="27"/>
        <v>24995</v>
      </c>
      <c r="C118" s="38">
        <f t="shared" si="28"/>
        <v>4608</v>
      </c>
      <c r="D118" s="38">
        <f t="shared" si="29"/>
        <v>1025</v>
      </c>
      <c r="E118" s="35">
        <f t="shared" si="30"/>
        <v>4.50439453125</v>
      </c>
      <c r="G118" s="35">
        <f t="shared" si="31"/>
        <v>5.3222166627532888</v>
      </c>
      <c r="H118" s="35">
        <f t="shared" si="32"/>
        <v>2398.0442804428044</v>
      </c>
      <c r="I118" s="35">
        <v>1.7</v>
      </c>
      <c r="J118" s="35">
        <f t="shared" si="33"/>
        <v>7.1713331958351203</v>
      </c>
      <c r="K118" s="35">
        <f t="shared" si="34"/>
        <v>-0.14911653308183137</v>
      </c>
      <c r="L118" s="35">
        <f t="shared" si="35"/>
        <v>-0.10195943941467789</v>
      </c>
      <c r="N118" s="39" t="s">
        <v>175</v>
      </c>
    </row>
    <row r="119" spans="2:14" x14ac:dyDescent="0.25">
      <c r="B119" s="38">
        <f t="shared" si="27"/>
        <v>33333</v>
      </c>
      <c r="C119" s="38">
        <f t="shared" si="28"/>
        <v>3712</v>
      </c>
      <c r="D119" s="38">
        <f t="shared" si="29"/>
        <v>1024</v>
      </c>
      <c r="E119" s="35">
        <f t="shared" si="30"/>
        <v>3.625</v>
      </c>
      <c r="G119" s="35">
        <f t="shared" si="31"/>
        <v>4.9069050226310624</v>
      </c>
      <c r="H119" s="35">
        <f t="shared" si="32"/>
        <v>3198</v>
      </c>
      <c r="I119" s="35">
        <v>1.7</v>
      </c>
      <c r="J119" s="35">
        <f t="shared" si="33"/>
        <v>6.8579809951275719</v>
      </c>
      <c r="K119" s="35">
        <f t="shared" si="34"/>
        <v>-0.25107597249650926</v>
      </c>
      <c r="L119" s="35">
        <f t="shared" si="35"/>
        <v>-9.9030330866358263E-2</v>
      </c>
      <c r="N119" s="39" t="s">
        <v>176</v>
      </c>
    </row>
    <row r="120" spans="2:14" x14ac:dyDescent="0.25">
      <c r="B120" s="38">
        <f t="shared" si="27"/>
        <v>33333</v>
      </c>
      <c r="C120" s="38">
        <f t="shared" si="28"/>
        <v>3968</v>
      </c>
      <c r="D120" s="38">
        <f t="shared" si="29"/>
        <v>1026</v>
      </c>
      <c r="E120" s="35">
        <f t="shared" si="30"/>
        <v>3.882568359375</v>
      </c>
      <c r="G120" s="35">
        <f t="shared" si="31"/>
        <v>4.9069050226310624</v>
      </c>
      <c r="H120" s="35">
        <f t="shared" si="32"/>
        <v>3198</v>
      </c>
      <c r="I120" s="35">
        <v>1.7</v>
      </c>
      <c r="J120" s="35">
        <f t="shared" si="33"/>
        <v>6.9570113259939301</v>
      </c>
      <c r="K120" s="35">
        <f t="shared" si="34"/>
        <v>-0.35010630336286752</v>
      </c>
      <c r="L120" s="35">
        <f t="shared" si="35"/>
        <v>-0.10000733222958313</v>
      </c>
      <c r="N120" s="39" t="s">
        <v>177</v>
      </c>
    </row>
    <row r="121" spans="2:14" x14ac:dyDescent="0.25">
      <c r="B121" s="38">
        <f t="shared" si="27"/>
        <v>33333</v>
      </c>
      <c r="C121" s="38">
        <f t="shared" si="28"/>
        <v>4224</v>
      </c>
      <c r="D121" s="38">
        <f t="shared" si="29"/>
        <v>1033</v>
      </c>
      <c r="E121" s="35">
        <f t="shared" si="30"/>
        <v>4.1612548828125</v>
      </c>
      <c r="G121" s="35">
        <f t="shared" si="31"/>
        <v>4.9069050226310624</v>
      </c>
      <c r="H121" s="35">
        <f t="shared" si="32"/>
        <v>3198</v>
      </c>
      <c r="I121" s="35">
        <v>1.7</v>
      </c>
      <c r="J121" s="35">
        <f t="shared" si="33"/>
        <v>7.0570186582235133</v>
      </c>
      <c r="K121" s="35">
        <f t="shared" si="34"/>
        <v>-0.45011363559245066</v>
      </c>
      <c r="L121" s="35">
        <f t="shared" si="35"/>
        <v>-0.100170355291338</v>
      </c>
      <c r="N121" s="39" t="s">
        <v>178</v>
      </c>
    </row>
    <row r="122" spans="2:14" x14ac:dyDescent="0.25">
      <c r="B122" s="38">
        <f t="shared" si="27"/>
        <v>33333</v>
      </c>
      <c r="C122" s="38">
        <f t="shared" si="28"/>
        <v>4480</v>
      </c>
      <c r="D122" s="38">
        <f t="shared" si="29"/>
        <v>1044</v>
      </c>
      <c r="E122" s="35">
        <f t="shared" si="30"/>
        <v>4.46044921875</v>
      </c>
      <c r="G122" s="35">
        <f t="shared" si="31"/>
        <v>4.9069050226310624</v>
      </c>
      <c r="H122" s="35">
        <f t="shared" si="32"/>
        <v>3198</v>
      </c>
      <c r="I122" s="35">
        <v>1.7</v>
      </c>
      <c r="J122" s="35">
        <f t="shared" si="33"/>
        <v>7.1571890135148513</v>
      </c>
      <c r="K122" s="35">
        <f t="shared" si="34"/>
        <v>-0.55028399088378865</v>
      </c>
      <c r="L122" s="35">
        <f t="shared" si="35"/>
        <v>-9.7765766822702993E-2</v>
      </c>
      <c r="N122" s="39" t="s">
        <v>179</v>
      </c>
    </row>
    <row r="123" spans="2:14" x14ac:dyDescent="0.25">
      <c r="B123" s="38">
        <f t="shared" si="27"/>
        <v>33333</v>
      </c>
      <c r="C123" s="38">
        <f t="shared" si="28"/>
        <v>4864</v>
      </c>
      <c r="D123" s="38">
        <f t="shared" si="29"/>
        <v>1029</v>
      </c>
      <c r="E123" s="35">
        <f t="shared" si="30"/>
        <v>4.773193359375</v>
      </c>
      <c r="G123" s="35">
        <f t="shared" si="31"/>
        <v>4.9069050226310624</v>
      </c>
      <c r="H123" s="35">
        <f t="shared" si="32"/>
        <v>3198</v>
      </c>
      <c r="I123" s="35">
        <v>1.7</v>
      </c>
      <c r="J123" s="35">
        <f t="shared" si="33"/>
        <v>7.2549547803375543</v>
      </c>
      <c r="K123" s="35">
        <f t="shared" si="34"/>
        <v>-0.64804975770649165</v>
      </c>
      <c r="L123" s="35">
        <f t="shared" si="35"/>
        <v>-0.10039631608725763</v>
      </c>
      <c r="N123" s="39" t="s">
        <v>180</v>
      </c>
    </row>
    <row r="124" spans="2:14" x14ac:dyDescent="0.25">
      <c r="B124" s="38">
        <f t="shared" si="27"/>
        <v>33333</v>
      </c>
      <c r="C124" s="38">
        <f t="shared" si="28"/>
        <v>5120</v>
      </c>
      <c r="D124" s="38">
        <f t="shared" si="29"/>
        <v>1048</v>
      </c>
      <c r="E124" s="35">
        <f t="shared" si="30"/>
        <v>5.1171875</v>
      </c>
      <c r="G124" s="35">
        <f t="shared" si="31"/>
        <v>4.9069050226310624</v>
      </c>
      <c r="H124" s="35">
        <f t="shared" si="32"/>
        <v>3198</v>
      </c>
      <c r="I124" s="35">
        <v>1.7</v>
      </c>
      <c r="J124" s="35">
        <f t="shared" si="33"/>
        <v>7.3553510964248119</v>
      </c>
      <c r="K124" s="35">
        <f t="shared" si="34"/>
        <v>-0.74844607379374928</v>
      </c>
      <c r="L124" s="35">
        <f t="shared" si="35"/>
        <v>-9.7437100797051812E-2</v>
      </c>
      <c r="N124" s="39" t="s">
        <v>181</v>
      </c>
    </row>
    <row r="125" spans="2:14" x14ac:dyDescent="0.25">
      <c r="B125" s="38">
        <f t="shared" si="27"/>
        <v>33333</v>
      </c>
      <c r="C125" s="38">
        <f t="shared" si="28"/>
        <v>5504</v>
      </c>
      <c r="D125" s="38">
        <f t="shared" si="29"/>
        <v>1043</v>
      </c>
      <c r="E125" s="35">
        <f t="shared" si="30"/>
        <v>5.4747314453125</v>
      </c>
      <c r="G125" s="35">
        <f t="shared" si="31"/>
        <v>4.9069050226310624</v>
      </c>
      <c r="H125" s="35">
        <f t="shared" si="32"/>
        <v>3198</v>
      </c>
      <c r="I125" s="35">
        <v>1.7</v>
      </c>
      <c r="J125" s="35">
        <f t="shared" si="33"/>
        <v>7.4527881972218637</v>
      </c>
      <c r="K125" s="35">
        <f t="shared" si="34"/>
        <v>-0.84588317459080109</v>
      </c>
      <c r="L125" s="35">
        <f t="shared" si="35"/>
        <v>-0.10882792134974206</v>
      </c>
      <c r="N125" s="39" t="s">
        <v>182</v>
      </c>
    </row>
    <row r="126" spans="2:14" x14ac:dyDescent="0.25">
      <c r="B126" s="38">
        <f t="shared" si="27"/>
        <v>33333</v>
      </c>
      <c r="C126" s="38">
        <f t="shared" si="28"/>
        <v>6016</v>
      </c>
      <c r="D126" s="38">
        <f t="shared" si="29"/>
        <v>1029</v>
      </c>
      <c r="E126" s="35">
        <f t="shared" si="30"/>
        <v>5.9036865234375</v>
      </c>
      <c r="G126" s="35">
        <f t="shared" si="31"/>
        <v>4.9069050226310624</v>
      </c>
      <c r="H126" s="35">
        <f t="shared" si="32"/>
        <v>3198</v>
      </c>
      <c r="I126" s="35">
        <v>1.7</v>
      </c>
      <c r="J126" s="35">
        <f t="shared" si="33"/>
        <v>7.5616161185716058</v>
      </c>
      <c r="K126" s="35">
        <f t="shared" si="34"/>
        <v>-0.95471109594054315</v>
      </c>
      <c r="L126" s="35">
        <f t="shared" si="35"/>
        <v>-9.7655123589807324E-2</v>
      </c>
      <c r="N126" s="39" t="s">
        <v>183</v>
      </c>
    </row>
    <row r="127" spans="2:14" x14ac:dyDescent="0.25">
      <c r="B127" s="38">
        <f t="shared" si="27"/>
        <v>33333</v>
      </c>
      <c r="C127" s="38">
        <f t="shared" si="28"/>
        <v>6400</v>
      </c>
      <c r="D127" s="38">
        <f t="shared" si="29"/>
        <v>1035</v>
      </c>
      <c r="E127" s="35">
        <f t="shared" si="30"/>
        <v>6.317138671875</v>
      </c>
      <c r="G127" s="35">
        <f t="shared" si="31"/>
        <v>4.9069050226310624</v>
      </c>
      <c r="H127" s="35">
        <f t="shared" si="32"/>
        <v>3198</v>
      </c>
      <c r="I127" s="35">
        <v>1.7</v>
      </c>
      <c r="J127" s="35">
        <f t="shared" si="33"/>
        <v>7.6592712421614131</v>
      </c>
      <c r="K127" s="35">
        <f t="shared" si="34"/>
        <v>-1.0523662195303505</v>
      </c>
      <c r="L127" s="35">
        <f t="shared" si="35"/>
        <v>-9.9836726320250868E-2</v>
      </c>
      <c r="N127" s="39" t="s">
        <v>184</v>
      </c>
    </row>
    <row r="128" spans="2:14" x14ac:dyDescent="0.25">
      <c r="B128" s="38">
        <f t="shared" si="27"/>
        <v>33333</v>
      </c>
      <c r="C128" s="38">
        <f t="shared" si="28"/>
        <v>6912</v>
      </c>
      <c r="D128" s="38">
        <f t="shared" si="29"/>
        <v>1027</v>
      </c>
      <c r="E128" s="35">
        <f t="shared" si="30"/>
        <v>6.769775390625</v>
      </c>
      <c r="G128" s="35">
        <f t="shared" si="31"/>
        <v>4.9069050226310624</v>
      </c>
      <c r="H128" s="35">
        <f t="shared" si="32"/>
        <v>3198</v>
      </c>
      <c r="I128" s="35">
        <v>1.7</v>
      </c>
      <c r="J128" s="35">
        <f t="shared" si="33"/>
        <v>7.759107968481664</v>
      </c>
      <c r="K128" s="35">
        <f t="shared" si="34"/>
        <v>-1.1522029458506013</v>
      </c>
      <c r="L128" s="35">
        <f t="shared" si="35"/>
        <v>-9.8873026645907913E-2</v>
      </c>
      <c r="N128" s="39" t="s">
        <v>185</v>
      </c>
    </row>
    <row r="129" spans="2:14" x14ac:dyDescent="0.25">
      <c r="B129" s="38">
        <f t="shared" si="27"/>
        <v>33333</v>
      </c>
      <c r="C129" s="38">
        <f t="shared" si="28"/>
        <v>7424</v>
      </c>
      <c r="D129" s="38">
        <f t="shared" si="29"/>
        <v>1024</v>
      </c>
      <c r="E129" s="35">
        <f t="shared" si="30"/>
        <v>7.25</v>
      </c>
      <c r="G129" s="35">
        <f t="shared" si="31"/>
        <v>4.9069050226310624</v>
      </c>
      <c r="H129" s="35">
        <f t="shared" si="32"/>
        <v>3198</v>
      </c>
      <c r="I129" s="35">
        <v>1.7</v>
      </c>
      <c r="J129" s="35">
        <f t="shared" si="33"/>
        <v>7.8579809951275719</v>
      </c>
      <c r="K129" s="35">
        <f t="shared" si="34"/>
        <v>-1.2510759724965093</v>
      </c>
      <c r="L129" s="35">
        <f t="shared" si="35"/>
        <v>-9.9030330866358263E-2</v>
      </c>
      <c r="N129" s="39" t="s">
        <v>186</v>
      </c>
    </row>
    <row r="130" spans="2:14" x14ac:dyDescent="0.25">
      <c r="B130" s="38">
        <f t="shared" si="27"/>
        <v>33333</v>
      </c>
      <c r="C130" s="38">
        <f t="shared" si="28"/>
        <v>7936</v>
      </c>
      <c r="D130" s="38">
        <f t="shared" si="29"/>
        <v>1026</v>
      </c>
      <c r="E130" s="35">
        <f t="shared" si="30"/>
        <v>7.76513671875</v>
      </c>
      <c r="G130" s="35">
        <f t="shared" si="31"/>
        <v>4.9069050226310624</v>
      </c>
      <c r="H130" s="35">
        <f t="shared" si="32"/>
        <v>3198</v>
      </c>
      <c r="I130" s="35">
        <v>1.7</v>
      </c>
      <c r="J130" s="35">
        <f t="shared" si="33"/>
        <v>7.9570113259939301</v>
      </c>
      <c r="K130" s="35">
        <f t="shared" si="34"/>
        <v>-1.3501063033628675</v>
      </c>
      <c r="L130" s="35">
        <f t="shared" si="35"/>
        <v>-9.8610048787778126E-2</v>
      </c>
      <c r="N130" s="39" t="s">
        <v>187</v>
      </c>
    </row>
    <row r="131" spans="2:14" x14ac:dyDescent="0.25">
      <c r="B131" s="38">
        <f t="shared" ref="B131:B162" si="36">VALUE(MID(N131,6,SEARCH(",",N131,1)-6))</f>
        <v>33333</v>
      </c>
      <c r="C131" s="38">
        <f t="shared" ref="C131:C162" si="37">VALUE(MID($N131,FIND("*",SUBSTITUTE($N131,",","*",1),1)+1,FIND("*",SUBSTITUTE($N131,",","*",2),1)-FIND("*",SUBSTITUTE($N131,",","*",1),1)-1))</f>
        <v>8448</v>
      </c>
      <c r="D131" s="38">
        <f t="shared" ref="D131:D162" si="38">VALUE(MID($N131,FIND("*",SUBSTITUTE($N131,",","*",2),1)+1,FIND("*",SUBSTITUTE($N131,",","*",3),1)-FIND("*",SUBSTITUTE($N131,",","*",2),1)-1))</f>
        <v>1032</v>
      </c>
      <c r="E131" s="35">
        <f t="shared" ref="E131:E162" si="39">((C131/1024)*(D131/1024))</f>
        <v>8.314453125</v>
      </c>
      <c r="G131" s="35">
        <f t="shared" ref="G131:G162" si="40">-LOG(B131*0.000001,2)</f>
        <v>4.9069050226310624</v>
      </c>
      <c r="H131" s="35">
        <f t="shared" ref="H131:H162" si="41">B131*0.000001*3198/0.033333</f>
        <v>3198</v>
      </c>
      <c r="I131" s="35">
        <v>1.7</v>
      </c>
      <c r="J131" s="35">
        <f t="shared" ref="J131:J162" si="42">LOG((C131/1024)*(D131/1024)*100/3.125,2)</f>
        <v>8.0556213747817083</v>
      </c>
      <c r="K131" s="35">
        <f t="shared" ref="K131:K162" si="43">I131+G131-J131</f>
        <v>-1.4487163521506456</v>
      </c>
      <c r="L131" s="35">
        <f t="shared" ref="L131:L162" si="44">K132-K131</f>
        <v>-9.9750293916851973E-2</v>
      </c>
      <c r="N131" s="39" t="s">
        <v>188</v>
      </c>
    </row>
    <row r="132" spans="2:14" x14ac:dyDescent="0.25">
      <c r="B132" s="38">
        <f t="shared" si="36"/>
        <v>33333</v>
      </c>
      <c r="C132" s="38">
        <f t="shared" si="37"/>
        <v>9088</v>
      </c>
      <c r="D132" s="38">
        <f t="shared" si="38"/>
        <v>1028</v>
      </c>
      <c r="E132" s="35">
        <f t="shared" si="39"/>
        <v>8.90966796875</v>
      </c>
      <c r="G132" s="35">
        <f t="shared" si="40"/>
        <v>4.9069050226310624</v>
      </c>
      <c r="H132" s="35">
        <f t="shared" si="41"/>
        <v>3198</v>
      </c>
      <c r="I132" s="35">
        <v>1.7</v>
      </c>
      <c r="J132" s="35">
        <f t="shared" si="42"/>
        <v>8.1553716686985602</v>
      </c>
      <c r="K132" s="35">
        <f t="shared" si="43"/>
        <v>-1.5484666460674976</v>
      </c>
      <c r="L132" s="35">
        <f t="shared" si="44"/>
        <v>-9.9583111638994026E-2</v>
      </c>
      <c r="N132" s="39" t="s">
        <v>189</v>
      </c>
    </row>
    <row r="133" spans="2:14" x14ac:dyDescent="0.25">
      <c r="B133" s="38">
        <f t="shared" si="36"/>
        <v>33333</v>
      </c>
      <c r="C133" s="38">
        <f t="shared" si="37"/>
        <v>9728</v>
      </c>
      <c r="D133" s="38">
        <f t="shared" si="38"/>
        <v>1029</v>
      </c>
      <c r="E133" s="35">
        <f t="shared" si="39"/>
        <v>9.54638671875</v>
      </c>
      <c r="G133" s="35">
        <f t="shared" si="40"/>
        <v>4.9069050226310624</v>
      </c>
      <c r="H133" s="35">
        <f t="shared" si="41"/>
        <v>3198</v>
      </c>
      <c r="I133" s="35">
        <v>1.7</v>
      </c>
      <c r="J133" s="35">
        <f t="shared" si="42"/>
        <v>8.2549547803375543</v>
      </c>
      <c r="K133" s="35">
        <f t="shared" si="43"/>
        <v>-1.6480497577064916</v>
      </c>
      <c r="L133" s="35">
        <f t="shared" si="44"/>
        <v>-9.8915692862005855E-2</v>
      </c>
      <c r="N133" s="39" t="s">
        <v>190</v>
      </c>
    </row>
    <row r="134" spans="2:14" x14ac:dyDescent="0.25">
      <c r="B134" s="38">
        <f t="shared" si="36"/>
        <v>33333</v>
      </c>
      <c r="C134" s="38">
        <f t="shared" si="37"/>
        <v>10368</v>
      </c>
      <c r="D134" s="38">
        <f t="shared" si="38"/>
        <v>1034</v>
      </c>
      <c r="E134" s="35">
        <f t="shared" si="39"/>
        <v>10.223876953125</v>
      </c>
      <c r="G134" s="35">
        <f t="shared" si="40"/>
        <v>4.9069050226310624</v>
      </c>
      <c r="H134" s="35">
        <f t="shared" si="41"/>
        <v>3198</v>
      </c>
      <c r="I134" s="35">
        <v>1.7</v>
      </c>
      <c r="J134" s="35">
        <f t="shared" si="42"/>
        <v>8.3538704731995601</v>
      </c>
      <c r="K134" s="35">
        <f t="shared" si="43"/>
        <v>-1.7469654505684975</v>
      </c>
      <c r="L134" s="35">
        <f t="shared" si="44"/>
        <v>-9.890164001727797E-2</v>
      </c>
      <c r="N134" s="39" t="s">
        <v>191</v>
      </c>
    </row>
    <row r="135" spans="2:14" x14ac:dyDescent="0.25">
      <c r="B135" s="38">
        <f t="shared" si="36"/>
        <v>33333</v>
      </c>
      <c r="C135" s="38">
        <f t="shared" si="37"/>
        <v>11136</v>
      </c>
      <c r="D135" s="38">
        <f t="shared" si="38"/>
        <v>1031</v>
      </c>
      <c r="E135" s="35">
        <f t="shared" si="39"/>
        <v>10.9493408203125</v>
      </c>
      <c r="G135" s="35">
        <f t="shared" si="40"/>
        <v>4.9069050226310624</v>
      </c>
      <c r="H135" s="35">
        <f t="shared" si="41"/>
        <v>3198</v>
      </c>
      <c r="I135" s="35">
        <v>1.7</v>
      </c>
      <c r="J135" s="35">
        <f t="shared" si="42"/>
        <v>8.4527721132168381</v>
      </c>
      <c r="K135" s="35">
        <f t="shared" si="43"/>
        <v>-1.8458670905857755</v>
      </c>
      <c r="L135" s="35">
        <f t="shared" si="44"/>
        <v>-0.10884400535476857</v>
      </c>
      <c r="N135" s="39" t="s">
        <v>192</v>
      </c>
    </row>
    <row r="136" spans="2:14" x14ac:dyDescent="0.25">
      <c r="B136" s="38">
        <f t="shared" si="36"/>
        <v>33333</v>
      </c>
      <c r="C136" s="38">
        <f t="shared" si="37"/>
        <v>12032</v>
      </c>
      <c r="D136" s="38">
        <f t="shared" si="38"/>
        <v>1029</v>
      </c>
      <c r="E136" s="35">
        <f t="shared" si="39"/>
        <v>11.807373046875</v>
      </c>
      <c r="G136" s="35">
        <f t="shared" si="40"/>
        <v>4.9069050226310624</v>
      </c>
      <c r="H136" s="35">
        <f t="shared" si="41"/>
        <v>3198</v>
      </c>
      <c r="I136" s="35">
        <v>1.7</v>
      </c>
      <c r="J136" s="35">
        <f t="shared" si="42"/>
        <v>8.5616161185716066</v>
      </c>
      <c r="K136" s="35">
        <f t="shared" si="43"/>
        <v>-1.954711095940544</v>
      </c>
      <c r="L136" s="35">
        <f t="shared" si="44"/>
        <v>-9.2068688571226076E-2</v>
      </c>
      <c r="N136" s="39" t="s">
        <v>193</v>
      </c>
    </row>
    <row r="137" spans="2:14" x14ac:dyDescent="0.25">
      <c r="B137" s="38">
        <f t="shared" si="36"/>
        <v>33333</v>
      </c>
      <c r="C137" s="38">
        <f t="shared" si="37"/>
        <v>12800</v>
      </c>
      <c r="D137" s="38">
        <f t="shared" si="38"/>
        <v>1031</v>
      </c>
      <c r="E137" s="35">
        <f t="shared" si="39"/>
        <v>12.58544921875</v>
      </c>
      <c r="G137" s="35">
        <f t="shared" si="40"/>
        <v>4.9069050226310624</v>
      </c>
      <c r="H137" s="35">
        <f t="shared" si="41"/>
        <v>3198</v>
      </c>
      <c r="I137" s="35">
        <v>1.7</v>
      </c>
      <c r="J137" s="35">
        <f t="shared" si="42"/>
        <v>8.6536848071428327</v>
      </c>
      <c r="K137" s="35">
        <f t="shared" si="43"/>
        <v>-2.0467797845117701</v>
      </c>
      <c r="L137" s="35">
        <f t="shared" si="44"/>
        <v>-0.10120269502063728</v>
      </c>
      <c r="N137" s="39" t="s">
        <v>194</v>
      </c>
    </row>
    <row r="138" spans="2:14" x14ac:dyDescent="0.25">
      <c r="B138" s="38">
        <f t="shared" si="36"/>
        <v>33333</v>
      </c>
      <c r="C138" s="38">
        <f t="shared" si="37"/>
        <v>13824</v>
      </c>
      <c r="D138" s="38">
        <f t="shared" si="38"/>
        <v>1024</v>
      </c>
      <c r="E138" s="35">
        <f t="shared" si="39"/>
        <v>13.5</v>
      </c>
      <c r="G138" s="35">
        <f t="shared" si="40"/>
        <v>4.9069050226310624</v>
      </c>
      <c r="H138" s="35">
        <f t="shared" si="41"/>
        <v>3198</v>
      </c>
      <c r="I138" s="35">
        <v>1.7</v>
      </c>
      <c r="J138" s="35">
        <f t="shared" si="42"/>
        <v>8.75488750216347</v>
      </c>
      <c r="K138" s="35">
        <f t="shared" si="43"/>
        <v>-2.1479824795324074</v>
      </c>
      <c r="L138" s="35">
        <f t="shared" si="44"/>
        <v>-9.8849378005215982E-2</v>
      </c>
      <c r="N138" s="39" t="s">
        <v>195</v>
      </c>
    </row>
    <row r="139" spans="2:14" x14ac:dyDescent="0.25">
      <c r="B139" s="38">
        <f t="shared" si="36"/>
        <v>41661</v>
      </c>
      <c r="C139" s="38">
        <f t="shared" si="37"/>
        <v>11776</v>
      </c>
      <c r="D139" s="38">
        <f t="shared" si="38"/>
        <v>1030</v>
      </c>
      <c r="E139" s="35">
        <f t="shared" si="39"/>
        <v>11.5673828125</v>
      </c>
      <c r="G139" s="35">
        <f t="shared" si="40"/>
        <v>4.5851587205899706</v>
      </c>
      <c r="H139" s="35">
        <f t="shared" si="41"/>
        <v>3996.9963099630991</v>
      </c>
      <c r="I139" s="35">
        <v>1.7</v>
      </c>
      <c r="J139" s="35">
        <f t="shared" si="42"/>
        <v>8.5319905781275942</v>
      </c>
      <c r="K139" s="35">
        <f t="shared" si="43"/>
        <v>-2.2468318575376234</v>
      </c>
      <c r="L139" s="35">
        <f t="shared" si="44"/>
        <v>-0.10018105755906959</v>
      </c>
      <c r="N139" s="39" t="s">
        <v>196</v>
      </c>
    </row>
    <row r="140" spans="2:14" x14ac:dyDescent="0.25">
      <c r="B140" s="38">
        <f t="shared" si="36"/>
        <v>41661</v>
      </c>
      <c r="C140" s="38">
        <f t="shared" si="37"/>
        <v>12672</v>
      </c>
      <c r="D140" s="38">
        <f t="shared" si="38"/>
        <v>1026</v>
      </c>
      <c r="E140" s="35">
        <f t="shared" si="39"/>
        <v>12.399169921875</v>
      </c>
      <c r="G140" s="35">
        <f t="shared" si="40"/>
        <v>4.5851587205899706</v>
      </c>
      <c r="H140" s="35">
        <f t="shared" si="41"/>
        <v>3996.9963099630991</v>
      </c>
      <c r="I140" s="35">
        <v>1.7</v>
      </c>
      <c r="J140" s="35">
        <f t="shared" si="42"/>
        <v>8.6321716356866638</v>
      </c>
      <c r="K140" s="35">
        <f t="shared" si="43"/>
        <v>-2.347012915096693</v>
      </c>
      <c r="L140" s="35">
        <f t="shared" si="44"/>
        <v>-0.10031922602134991</v>
      </c>
      <c r="N140" s="39" t="s">
        <v>197</v>
      </c>
    </row>
    <row r="141" spans="2:14" x14ac:dyDescent="0.25">
      <c r="B141" s="38">
        <f t="shared" si="36"/>
        <v>50000</v>
      </c>
      <c r="C141" s="38">
        <f t="shared" si="37"/>
        <v>11264</v>
      </c>
      <c r="D141" s="38">
        <f t="shared" si="38"/>
        <v>1031</v>
      </c>
      <c r="E141" s="35">
        <f t="shared" si="39"/>
        <v>11.0751953125</v>
      </c>
      <c r="G141" s="35">
        <f t="shared" si="40"/>
        <v>4.3219280948873626</v>
      </c>
      <c r="H141" s="35">
        <f t="shared" si="41"/>
        <v>4797.0479704797035</v>
      </c>
      <c r="I141" s="35">
        <v>1.7</v>
      </c>
      <c r="J141" s="35">
        <f t="shared" si="42"/>
        <v>8.4692602360054057</v>
      </c>
      <c r="K141" s="35">
        <f t="shared" si="43"/>
        <v>-2.4473321411180429</v>
      </c>
      <c r="L141" s="35">
        <f t="shared" si="44"/>
        <v>-9.934908598716774E-2</v>
      </c>
      <c r="N141" s="39" t="s">
        <v>198</v>
      </c>
    </row>
    <row r="142" spans="2:14" x14ac:dyDescent="0.25">
      <c r="B142" s="38">
        <f t="shared" si="36"/>
        <v>50000</v>
      </c>
      <c r="C142" s="38">
        <f t="shared" si="37"/>
        <v>12032</v>
      </c>
      <c r="D142" s="38">
        <f t="shared" si="38"/>
        <v>1034</v>
      </c>
      <c r="E142" s="35">
        <f t="shared" si="39"/>
        <v>11.86474609375</v>
      </c>
      <c r="G142" s="35">
        <f t="shared" si="40"/>
        <v>4.3219280948873626</v>
      </c>
      <c r="H142" s="35">
        <f t="shared" si="41"/>
        <v>4797.0479704797035</v>
      </c>
      <c r="I142" s="35">
        <v>1.7</v>
      </c>
      <c r="J142" s="35">
        <f t="shared" si="42"/>
        <v>8.5686093219925734</v>
      </c>
      <c r="K142" s="35">
        <f t="shared" si="43"/>
        <v>-2.5466812271052106</v>
      </c>
      <c r="L142" s="35">
        <f t="shared" si="44"/>
        <v>-9.9430778127329589E-2</v>
      </c>
      <c r="N142" s="39" t="s">
        <v>199</v>
      </c>
    </row>
    <row r="143" spans="2:14" x14ac:dyDescent="0.25">
      <c r="B143" s="38">
        <f t="shared" si="36"/>
        <v>50000</v>
      </c>
      <c r="C143" s="38">
        <f t="shared" si="37"/>
        <v>12928</v>
      </c>
      <c r="D143" s="38">
        <f t="shared" si="38"/>
        <v>1031</v>
      </c>
      <c r="E143" s="35">
        <f t="shared" si="39"/>
        <v>12.7113037109375</v>
      </c>
      <c r="G143" s="35">
        <f t="shared" si="40"/>
        <v>4.3219280948873626</v>
      </c>
      <c r="H143" s="35">
        <f t="shared" si="41"/>
        <v>4797.0479704797035</v>
      </c>
      <c r="I143" s="35">
        <v>1.7</v>
      </c>
      <c r="J143" s="35">
        <f t="shared" si="42"/>
        <v>8.668040100119903</v>
      </c>
      <c r="K143" s="35">
        <f t="shared" si="43"/>
        <v>-2.6461120052325402</v>
      </c>
      <c r="L143" s="35">
        <f t="shared" si="44"/>
        <v>-0.1004064896417054</v>
      </c>
      <c r="N143" s="39" t="s">
        <v>200</v>
      </c>
    </row>
    <row r="144" spans="2:14" x14ac:dyDescent="0.25">
      <c r="B144" s="38">
        <f t="shared" si="36"/>
        <v>58328</v>
      </c>
      <c r="C144" s="38">
        <f t="shared" si="37"/>
        <v>11904</v>
      </c>
      <c r="D144" s="38">
        <f t="shared" si="38"/>
        <v>1029</v>
      </c>
      <c r="E144" s="35">
        <f t="shared" si="39"/>
        <v>11.6817626953125</v>
      </c>
      <c r="G144" s="35">
        <f t="shared" si="40"/>
        <v>4.0996675831277543</v>
      </c>
      <c r="H144" s="35">
        <f t="shared" si="41"/>
        <v>5596.0442804428039</v>
      </c>
      <c r="I144" s="35">
        <v>1.7</v>
      </c>
      <c r="J144" s="35">
        <f t="shared" si="42"/>
        <v>8.546186078002</v>
      </c>
      <c r="K144" s="35">
        <f t="shared" si="43"/>
        <v>-2.7465184948742456</v>
      </c>
      <c r="L144" s="35">
        <f t="shared" si="44"/>
        <v>-9.9078306165534258E-2</v>
      </c>
      <c r="N144" s="39" t="s">
        <v>201</v>
      </c>
    </row>
    <row r="145" spans="2:14" x14ac:dyDescent="0.25">
      <c r="B145" s="38">
        <f t="shared" si="36"/>
        <v>58328</v>
      </c>
      <c r="C145" s="38">
        <f t="shared" si="37"/>
        <v>12800</v>
      </c>
      <c r="D145" s="38">
        <f t="shared" si="38"/>
        <v>1025</v>
      </c>
      <c r="E145" s="35">
        <f t="shared" si="39"/>
        <v>12.51220703125</v>
      </c>
      <c r="G145" s="35">
        <f t="shared" si="40"/>
        <v>4.0996675831277543</v>
      </c>
      <c r="H145" s="35">
        <f t="shared" si="41"/>
        <v>5596.0442804428039</v>
      </c>
      <c r="I145" s="35">
        <v>1.7</v>
      </c>
      <c r="J145" s="35">
        <f t="shared" si="42"/>
        <v>8.6452643841675343</v>
      </c>
      <c r="K145" s="35">
        <f t="shared" si="43"/>
        <v>-2.8455968010397799</v>
      </c>
      <c r="L145" s="35">
        <f t="shared" si="44"/>
        <v>-0.10067745775212256</v>
      </c>
      <c r="N145" s="39" t="s">
        <v>202</v>
      </c>
    </row>
    <row r="146" spans="2:14" x14ac:dyDescent="0.25">
      <c r="B146" s="38">
        <f t="shared" si="36"/>
        <v>66666</v>
      </c>
      <c r="C146" s="38">
        <f t="shared" si="37"/>
        <v>11904</v>
      </c>
      <c r="D146" s="38">
        <f t="shared" si="38"/>
        <v>1034</v>
      </c>
      <c r="E146" s="35">
        <f t="shared" si="39"/>
        <v>11.738525390625</v>
      </c>
      <c r="G146" s="35">
        <f t="shared" si="40"/>
        <v>3.9069050226310624</v>
      </c>
      <c r="H146" s="35">
        <f t="shared" si="41"/>
        <v>6396</v>
      </c>
      <c r="I146" s="35">
        <v>1.7</v>
      </c>
      <c r="J146" s="35">
        <f t="shared" si="42"/>
        <v>8.553179281422965</v>
      </c>
      <c r="K146" s="35">
        <f t="shared" si="43"/>
        <v>-2.9462742587919024</v>
      </c>
      <c r="L146" s="35">
        <f t="shared" si="44"/>
        <v>-0.10050552571986771</v>
      </c>
      <c r="N146" s="39" t="s">
        <v>203</v>
      </c>
    </row>
    <row r="147" spans="2:14" x14ac:dyDescent="0.25">
      <c r="B147" s="38">
        <f t="shared" si="36"/>
        <v>66666</v>
      </c>
      <c r="C147" s="38">
        <f t="shared" si="37"/>
        <v>12800</v>
      </c>
      <c r="D147" s="38">
        <f t="shared" si="38"/>
        <v>1031</v>
      </c>
      <c r="E147" s="35">
        <f t="shared" si="39"/>
        <v>12.58544921875</v>
      </c>
      <c r="G147" s="35">
        <f t="shared" si="40"/>
        <v>3.9069050226310624</v>
      </c>
      <c r="H147" s="35">
        <f t="shared" si="41"/>
        <v>6396</v>
      </c>
      <c r="I147" s="35">
        <v>1.7</v>
      </c>
      <c r="J147" s="35">
        <f t="shared" si="42"/>
        <v>8.6536848071428327</v>
      </c>
      <c r="K147" s="35">
        <f t="shared" si="43"/>
        <v>-3.0467797845117701</v>
      </c>
      <c r="L147" s="35">
        <f t="shared" si="44"/>
        <v>-9.9009434681567754E-2</v>
      </c>
      <c r="N147" s="39" t="s">
        <v>204</v>
      </c>
    </row>
    <row r="148" spans="2:14" x14ac:dyDescent="0.25">
      <c r="B148" s="38">
        <f t="shared" si="36"/>
        <v>66666</v>
      </c>
      <c r="C148" s="38">
        <f t="shared" si="37"/>
        <v>13696</v>
      </c>
      <c r="D148" s="38">
        <f t="shared" si="38"/>
        <v>1032</v>
      </c>
      <c r="E148" s="35">
        <f t="shared" si="39"/>
        <v>13.4794921875</v>
      </c>
      <c r="G148" s="35">
        <f t="shared" si="40"/>
        <v>3.9069050226310624</v>
      </c>
      <c r="H148" s="35">
        <f t="shared" si="41"/>
        <v>6396</v>
      </c>
      <c r="I148" s="35">
        <v>1.7</v>
      </c>
      <c r="J148" s="35">
        <f t="shared" si="42"/>
        <v>8.7526942418244005</v>
      </c>
      <c r="K148" s="35">
        <f t="shared" si="43"/>
        <v>-3.1457892191933379</v>
      </c>
      <c r="L148" s="35">
        <f t="shared" si="44"/>
        <v>-9.9823076013944245E-2</v>
      </c>
      <c r="N148" s="39" t="s">
        <v>205</v>
      </c>
    </row>
    <row r="149" spans="2:14" x14ac:dyDescent="0.25">
      <c r="B149" s="38">
        <f t="shared" si="36"/>
        <v>66666</v>
      </c>
      <c r="C149" s="38">
        <f t="shared" si="37"/>
        <v>14720</v>
      </c>
      <c r="D149" s="38">
        <f t="shared" si="38"/>
        <v>1029</v>
      </c>
      <c r="E149" s="35">
        <f t="shared" si="39"/>
        <v>14.4451904296875</v>
      </c>
      <c r="G149" s="35">
        <f t="shared" si="40"/>
        <v>3.9069050226310624</v>
      </c>
      <c r="H149" s="35">
        <f t="shared" si="41"/>
        <v>6396</v>
      </c>
      <c r="I149" s="35">
        <v>1.7</v>
      </c>
      <c r="J149" s="35">
        <f t="shared" si="42"/>
        <v>8.8525173178383447</v>
      </c>
      <c r="K149" s="35">
        <f t="shared" si="43"/>
        <v>-3.2456122952072821</v>
      </c>
      <c r="L149" s="35">
        <f t="shared" si="44"/>
        <v>-9.9825804869004386E-2</v>
      </c>
      <c r="N149" s="39" t="s">
        <v>206</v>
      </c>
    </row>
    <row r="150" spans="2:14" x14ac:dyDescent="0.25">
      <c r="B150" s="38">
        <f t="shared" si="36"/>
        <v>66666</v>
      </c>
      <c r="C150" s="38">
        <f t="shared" si="37"/>
        <v>15744</v>
      </c>
      <c r="D150" s="38">
        <f t="shared" si="38"/>
        <v>1031</v>
      </c>
      <c r="E150" s="35">
        <f t="shared" si="39"/>
        <v>15.4801025390625</v>
      </c>
      <c r="G150" s="35">
        <f t="shared" si="40"/>
        <v>3.9069050226310624</v>
      </c>
      <c r="H150" s="35">
        <f t="shared" si="41"/>
        <v>6396</v>
      </c>
      <c r="I150" s="35">
        <v>1.7</v>
      </c>
      <c r="J150" s="35">
        <f t="shared" si="42"/>
        <v>8.9523431227073491</v>
      </c>
      <c r="K150" s="35">
        <f t="shared" si="43"/>
        <v>-3.3454381000762865</v>
      </c>
      <c r="L150" s="35">
        <f t="shared" si="44"/>
        <v>-0.10970301501314239</v>
      </c>
      <c r="N150" s="39" t="s">
        <v>207</v>
      </c>
    </row>
    <row r="151" spans="2:14" x14ac:dyDescent="0.25">
      <c r="B151" s="38">
        <f t="shared" si="36"/>
        <v>66666</v>
      </c>
      <c r="C151" s="38">
        <f t="shared" si="37"/>
        <v>16384</v>
      </c>
      <c r="D151" s="38">
        <f t="shared" si="38"/>
        <v>1069</v>
      </c>
      <c r="E151" s="35">
        <f t="shared" si="39"/>
        <v>16.703125</v>
      </c>
      <c r="G151" s="35">
        <f t="shared" si="40"/>
        <v>3.9069050226310624</v>
      </c>
      <c r="H151" s="35">
        <f t="shared" si="41"/>
        <v>6396</v>
      </c>
      <c r="I151" s="35">
        <v>1.7</v>
      </c>
      <c r="J151" s="35">
        <f t="shared" si="42"/>
        <v>9.0620461377204915</v>
      </c>
      <c r="K151" s="35">
        <f t="shared" si="43"/>
        <v>-3.4551411150894289</v>
      </c>
      <c r="L151" s="35">
        <f t="shared" si="44"/>
        <v>-0.10034519103641415</v>
      </c>
      <c r="N151" s="39" t="s">
        <v>208</v>
      </c>
    </row>
    <row r="152" spans="2:14" x14ac:dyDescent="0.25">
      <c r="B152" s="38">
        <f t="shared" si="36"/>
        <v>66666</v>
      </c>
      <c r="C152" s="38">
        <f t="shared" si="37"/>
        <v>16384</v>
      </c>
      <c r="D152" s="38">
        <f t="shared" si="38"/>
        <v>1146</v>
      </c>
      <c r="E152" s="35">
        <f t="shared" si="39"/>
        <v>17.90625</v>
      </c>
      <c r="G152" s="35">
        <f t="shared" si="40"/>
        <v>3.9069050226310624</v>
      </c>
      <c r="H152" s="35">
        <f t="shared" si="41"/>
        <v>6396</v>
      </c>
      <c r="I152" s="35">
        <v>1.7</v>
      </c>
      <c r="J152" s="35">
        <f t="shared" si="42"/>
        <v>9.1623913287569057</v>
      </c>
      <c r="K152" s="35">
        <f t="shared" si="43"/>
        <v>-3.555486306125843</v>
      </c>
      <c r="L152" s="35">
        <f t="shared" si="44"/>
        <v>-9.9703516613272924E-2</v>
      </c>
      <c r="N152" s="39" t="s">
        <v>209</v>
      </c>
    </row>
    <row r="153" spans="2:14" x14ac:dyDescent="0.25">
      <c r="B153" s="38">
        <f t="shared" si="36"/>
        <v>66666</v>
      </c>
      <c r="C153" s="38">
        <f t="shared" si="37"/>
        <v>16384</v>
      </c>
      <c r="D153" s="38">
        <f t="shared" si="38"/>
        <v>1228</v>
      </c>
      <c r="E153" s="35">
        <f t="shared" si="39"/>
        <v>19.1875</v>
      </c>
      <c r="G153" s="35">
        <f t="shared" si="40"/>
        <v>3.9069050226310624</v>
      </c>
      <c r="H153" s="35">
        <f t="shared" si="41"/>
        <v>6396</v>
      </c>
      <c r="I153" s="35">
        <v>1.7</v>
      </c>
      <c r="J153" s="35">
        <f t="shared" si="42"/>
        <v>9.2620948453701786</v>
      </c>
      <c r="K153" s="35">
        <f t="shared" si="43"/>
        <v>-3.655189822739116</v>
      </c>
      <c r="L153" s="35">
        <f t="shared" si="44"/>
        <v>-9.8752238809487025E-2</v>
      </c>
      <c r="N153" s="39" t="s">
        <v>210</v>
      </c>
    </row>
    <row r="154" spans="2:14" x14ac:dyDescent="0.25">
      <c r="B154" s="38">
        <f t="shared" si="36"/>
        <v>66666</v>
      </c>
      <c r="C154" s="38">
        <f t="shared" si="37"/>
        <v>16384</v>
      </c>
      <c r="D154" s="38">
        <f t="shared" si="38"/>
        <v>1315</v>
      </c>
      <c r="E154" s="35">
        <f t="shared" si="39"/>
        <v>20.546875</v>
      </c>
      <c r="G154" s="35">
        <f t="shared" si="40"/>
        <v>3.9069050226310624</v>
      </c>
      <c r="H154" s="35">
        <f t="shared" si="41"/>
        <v>6396</v>
      </c>
      <c r="I154" s="35">
        <v>1.7</v>
      </c>
      <c r="J154" s="35">
        <f t="shared" si="42"/>
        <v>9.3608470841796656</v>
      </c>
      <c r="K154" s="35">
        <f t="shared" si="43"/>
        <v>-3.753942061548603</v>
      </c>
      <c r="L154" s="35">
        <f t="shared" si="44"/>
        <v>-9.960881212997208E-2</v>
      </c>
      <c r="N154" s="39" t="s">
        <v>211</v>
      </c>
    </row>
    <row r="155" spans="2:14" x14ac:dyDescent="0.25">
      <c r="B155" s="38">
        <f t="shared" si="36"/>
        <v>66666</v>
      </c>
      <c r="C155" s="38">
        <f t="shared" si="37"/>
        <v>16384</v>
      </c>
      <c r="D155" s="38">
        <f t="shared" si="38"/>
        <v>1409</v>
      </c>
      <c r="E155" s="35">
        <f t="shared" si="39"/>
        <v>22.015625</v>
      </c>
      <c r="G155" s="35">
        <f t="shared" si="40"/>
        <v>3.9069050226310624</v>
      </c>
      <c r="H155" s="35">
        <f t="shared" si="41"/>
        <v>6396</v>
      </c>
      <c r="I155" s="35">
        <v>1.7</v>
      </c>
      <c r="J155" s="35">
        <f t="shared" si="42"/>
        <v>9.4604558963096377</v>
      </c>
      <c r="K155" s="35">
        <f t="shared" si="43"/>
        <v>-3.8535508736785751</v>
      </c>
      <c r="L155" s="35">
        <f t="shared" si="44"/>
        <v>-9.9876937902804386E-2</v>
      </c>
      <c r="N155" s="39" t="s">
        <v>212</v>
      </c>
    </row>
    <row r="156" spans="2:14" x14ac:dyDescent="0.25">
      <c r="B156" s="38">
        <f t="shared" si="36"/>
        <v>66666</v>
      </c>
      <c r="C156" s="38">
        <f t="shared" si="37"/>
        <v>16384</v>
      </c>
      <c r="D156" s="38">
        <f t="shared" si="38"/>
        <v>1510</v>
      </c>
      <c r="E156" s="35">
        <f t="shared" si="39"/>
        <v>23.59375</v>
      </c>
      <c r="G156" s="35">
        <f t="shared" si="40"/>
        <v>3.9069050226310624</v>
      </c>
      <c r="H156" s="35">
        <f t="shared" si="41"/>
        <v>6396</v>
      </c>
      <c r="I156" s="35">
        <v>1.7</v>
      </c>
      <c r="J156" s="35">
        <f t="shared" si="42"/>
        <v>9.5603328342124421</v>
      </c>
      <c r="K156" s="35">
        <f t="shared" si="43"/>
        <v>-3.9534278115813795</v>
      </c>
      <c r="L156" s="35">
        <f t="shared" si="44"/>
        <v>-9.9663058217535294E-2</v>
      </c>
      <c r="N156" s="39" t="s">
        <v>213</v>
      </c>
    </row>
    <row r="157" spans="2:14" x14ac:dyDescent="0.25">
      <c r="B157" s="38">
        <f t="shared" si="36"/>
        <v>66666</v>
      </c>
      <c r="C157" s="38">
        <f t="shared" si="37"/>
        <v>16384</v>
      </c>
      <c r="D157" s="38">
        <f t="shared" si="38"/>
        <v>1618</v>
      </c>
      <c r="E157" s="35">
        <f t="shared" si="39"/>
        <v>25.28125</v>
      </c>
      <c r="G157" s="35">
        <f t="shared" si="40"/>
        <v>3.9069050226310624</v>
      </c>
      <c r="H157" s="35">
        <f t="shared" si="41"/>
        <v>6396</v>
      </c>
      <c r="I157" s="35">
        <v>1.7</v>
      </c>
      <c r="J157" s="35">
        <f t="shared" si="42"/>
        <v>9.6599958924299774</v>
      </c>
      <c r="K157" s="35">
        <f t="shared" si="43"/>
        <v>-4.0530908697989148</v>
      </c>
      <c r="L157" s="35">
        <f t="shared" si="44"/>
        <v>-9.9892290791856908E-2</v>
      </c>
      <c r="N157" s="39" t="s">
        <v>214</v>
      </c>
    </row>
    <row r="158" spans="2:14" x14ac:dyDescent="0.25">
      <c r="B158" s="38">
        <f t="shared" si="36"/>
        <v>66666</v>
      </c>
      <c r="C158" s="38">
        <f t="shared" si="37"/>
        <v>16384</v>
      </c>
      <c r="D158" s="38">
        <f t="shared" si="38"/>
        <v>1734</v>
      </c>
      <c r="E158" s="35">
        <f t="shared" si="39"/>
        <v>27.09375</v>
      </c>
      <c r="G158" s="35">
        <f t="shared" si="40"/>
        <v>3.9069050226310624</v>
      </c>
      <c r="H158" s="35">
        <f t="shared" si="41"/>
        <v>6396</v>
      </c>
      <c r="I158" s="35">
        <v>1.7</v>
      </c>
      <c r="J158" s="35">
        <f t="shared" si="42"/>
        <v>9.7598881832218343</v>
      </c>
      <c r="K158" s="35">
        <f t="shared" si="43"/>
        <v>-4.1529831605907717</v>
      </c>
      <c r="L158" s="35">
        <f t="shared" si="44"/>
        <v>-0.10042287169764741</v>
      </c>
      <c r="N158" s="39" t="s">
        <v>215</v>
      </c>
    </row>
    <row r="159" spans="2:14" x14ac:dyDescent="0.25">
      <c r="B159" s="38">
        <f t="shared" si="36"/>
        <v>66666</v>
      </c>
      <c r="C159" s="38">
        <f t="shared" si="37"/>
        <v>16384</v>
      </c>
      <c r="D159" s="38">
        <f t="shared" si="38"/>
        <v>1859</v>
      </c>
      <c r="E159" s="35">
        <f t="shared" si="39"/>
        <v>29.046875</v>
      </c>
      <c r="G159" s="35">
        <f t="shared" si="40"/>
        <v>3.9069050226310624</v>
      </c>
      <c r="H159" s="35">
        <f t="shared" si="41"/>
        <v>6396</v>
      </c>
      <c r="I159" s="35">
        <v>1.7</v>
      </c>
      <c r="J159" s="35">
        <f t="shared" si="42"/>
        <v>9.8603110549194817</v>
      </c>
      <c r="K159" s="35">
        <f t="shared" si="43"/>
        <v>-4.2534060322884191</v>
      </c>
      <c r="L159" s="35">
        <f t="shared" si="44"/>
        <v>-9.969087714859981E-2</v>
      </c>
      <c r="N159" s="39" t="s">
        <v>216</v>
      </c>
    </row>
    <row r="160" spans="2:14" x14ac:dyDescent="0.25">
      <c r="B160" s="38">
        <f t="shared" si="36"/>
        <v>66666</v>
      </c>
      <c r="C160" s="38">
        <f t="shared" si="37"/>
        <v>16384</v>
      </c>
      <c r="D160" s="38">
        <f t="shared" si="38"/>
        <v>1992</v>
      </c>
      <c r="E160" s="35">
        <f t="shared" si="39"/>
        <v>31.125</v>
      </c>
      <c r="G160" s="35">
        <f t="shared" si="40"/>
        <v>3.9069050226310624</v>
      </c>
      <c r="H160" s="35">
        <f t="shared" si="41"/>
        <v>6396</v>
      </c>
      <c r="I160" s="35">
        <v>1.7</v>
      </c>
      <c r="J160" s="35">
        <f t="shared" si="42"/>
        <v>9.9600019320680815</v>
      </c>
      <c r="K160" s="35">
        <f t="shared" si="43"/>
        <v>-4.3530969094370189</v>
      </c>
      <c r="L160" s="35">
        <f t="shared" si="44"/>
        <v>-9.934252875634364E-2</v>
      </c>
      <c r="N160" s="39" t="s">
        <v>217</v>
      </c>
    </row>
    <row r="161" spans="2:14" x14ac:dyDescent="0.25">
      <c r="B161" s="38">
        <f t="shared" si="36"/>
        <v>66666</v>
      </c>
      <c r="C161" s="38">
        <f t="shared" si="37"/>
        <v>16384</v>
      </c>
      <c r="D161" s="38">
        <f t="shared" si="38"/>
        <v>2134</v>
      </c>
      <c r="E161" s="35">
        <f t="shared" si="39"/>
        <v>33.34375</v>
      </c>
      <c r="G161" s="35">
        <f t="shared" si="40"/>
        <v>3.9069050226310624</v>
      </c>
      <c r="H161" s="35">
        <f t="shared" si="41"/>
        <v>6396</v>
      </c>
      <c r="I161" s="35">
        <v>1.7</v>
      </c>
      <c r="J161" s="35">
        <f t="shared" si="42"/>
        <v>10.059344460824425</v>
      </c>
      <c r="K161" s="35">
        <f t="shared" si="43"/>
        <v>-4.4524394381933625</v>
      </c>
      <c r="L161" s="35">
        <f t="shared" si="44"/>
        <v>-9.989618958724833E-2</v>
      </c>
      <c r="N161" s="39" t="s">
        <v>218</v>
      </c>
    </row>
    <row r="162" spans="2:14" x14ac:dyDescent="0.25">
      <c r="B162" s="38">
        <f t="shared" si="36"/>
        <v>66666</v>
      </c>
      <c r="C162" s="38">
        <f t="shared" si="37"/>
        <v>16384</v>
      </c>
      <c r="D162" s="38">
        <f t="shared" si="38"/>
        <v>2287</v>
      </c>
      <c r="E162" s="35">
        <f t="shared" si="39"/>
        <v>35.734375</v>
      </c>
      <c r="G162" s="35">
        <f t="shared" si="40"/>
        <v>3.9069050226310624</v>
      </c>
      <c r="H162" s="35">
        <f t="shared" si="41"/>
        <v>6396</v>
      </c>
      <c r="I162" s="35">
        <v>1.7</v>
      </c>
      <c r="J162" s="35">
        <f t="shared" si="42"/>
        <v>10.159240650411673</v>
      </c>
      <c r="K162" s="35">
        <f t="shared" si="43"/>
        <v>-4.5523356277806108</v>
      </c>
      <c r="L162" s="35">
        <f t="shared" si="44"/>
        <v>-9.9914118455167511E-2</v>
      </c>
      <c r="N162" s="39" t="s">
        <v>219</v>
      </c>
    </row>
    <row r="163" spans="2:14" x14ac:dyDescent="0.25">
      <c r="B163" s="38">
        <f t="shared" ref="B163:B177" si="45">VALUE(MID(N163,6,SEARCH(",",N163,1)-6))</f>
        <v>66666</v>
      </c>
      <c r="C163" s="38">
        <f t="shared" ref="C163:C177" si="46">VALUE(MID($N163,FIND("*",SUBSTITUTE($N163,",","*",1),1)+1,FIND("*",SUBSTITUTE($N163,",","*",2),1)-FIND("*",SUBSTITUTE($N163,",","*",1),1)-1))</f>
        <v>16384</v>
      </c>
      <c r="D163" s="38">
        <f t="shared" ref="D163:D177" si="47">VALUE(MID($N163,FIND("*",SUBSTITUTE($N163,",","*",2),1)+1,FIND("*",SUBSTITUTE($N163,",","*",3),1)-FIND("*",SUBSTITUTE($N163,",","*",2),1)-1))</f>
        <v>2451</v>
      </c>
      <c r="E163" s="35">
        <f t="shared" ref="E163:E177" si="48">((C163/1024)*(D163/1024))</f>
        <v>38.296875</v>
      </c>
      <c r="G163" s="35">
        <f t="shared" ref="G163:G177" si="49">-LOG(B163*0.000001,2)</f>
        <v>3.9069050226310624</v>
      </c>
      <c r="H163" s="35">
        <f t="shared" ref="H163:H177" si="50">B163*0.000001*3198/0.033333</f>
        <v>6396</v>
      </c>
      <c r="I163" s="35">
        <v>1.7</v>
      </c>
      <c r="J163" s="35">
        <f t="shared" ref="J163:J177" si="51">LOG((C163/1024)*(D163/1024)*100/3.125,2)</f>
        <v>10.259154768866841</v>
      </c>
      <c r="K163" s="35">
        <f t="shared" ref="K163:K177" si="52">I163+G163-J163</f>
        <v>-4.6522497462357784</v>
      </c>
      <c r="L163" s="35">
        <f t="shared" ref="L163:L176" si="53">K164-K163</f>
        <v>-0.10004571626679137</v>
      </c>
      <c r="N163" s="39" t="s">
        <v>220</v>
      </c>
    </row>
    <row r="164" spans="2:14" x14ac:dyDescent="0.25">
      <c r="B164" s="38">
        <f t="shared" si="45"/>
        <v>66666</v>
      </c>
      <c r="C164" s="38">
        <f t="shared" si="46"/>
        <v>16384</v>
      </c>
      <c r="D164" s="38">
        <f t="shared" si="47"/>
        <v>2627</v>
      </c>
      <c r="E164" s="35">
        <f t="shared" si="48"/>
        <v>41.046875</v>
      </c>
      <c r="G164" s="35">
        <f t="shared" si="49"/>
        <v>3.9069050226310624</v>
      </c>
      <c r="H164" s="35">
        <f t="shared" si="50"/>
        <v>6396</v>
      </c>
      <c r="I164" s="35">
        <v>1.7</v>
      </c>
      <c r="J164" s="35">
        <f t="shared" si="51"/>
        <v>10.359200485133632</v>
      </c>
      <c r="K164" s="35">
        <f t="shared" si="52"/>
        <v>-4.7522954625025697</v>
      </c>
      <c r="L164" s="35">
        <f t="shared" si="53"/>
        <v>-9.9718721833960799E-2</v>
      </c>
      <c r="N164" s="39" t="s">
        <v>221</v>
      </c>
    </row>
    <row r="165" spans="2:14" x14ac:dyDescent="0.25">
      <c r="B165" s="38">
        <f t="shared" si="45"/>
        <v>66666</v>
      </c>
      <c r="C165" s="38">
        <f t="shared" si="46"/>
        <v>16384</v>
      </c>
      <c r="D165" s="38">
        <f t="shared" si="47"/>
        <v>2815</v>
      </c>
      <c r="E165" s="35">
        <f t="shared" si="48"/>
        <v>43.984375</v>
      </c>
      <c r="G165" s="35">
        <f t="shared" si="49"/>
        <v>3.9069050226310624</v>
      </c>
      <c r="H165" s="35">
        <f t="shared" si="50"/>
        <v>6396</v>
      </c>
      <c r="I165" s="35">
        <v>1.7</v>
      </c>
      <c r="J165" s="35">
        <f t="shared" si="51"/>
        <v>10.458919206967593</v>
      </c>
      <c r="K165" s="35">
        <f t="shared" si="52"/>
        <v>-4.8520141843365305</v>
      </c>
      <c r="L165" s="35">
        <f t="shared" si="53"/>
        <v>-0.10284605666011437</v>
      </c>
      <c r="N165" s="39" t="s">
        <v>222</v>
      </c>
    </row>
    <row r="166" spans="2:14" x14ac:dyDescent="0.25">
      <c r="B166" s="38">
        <f t="shared" si="45"/>
        <v>66666</v>
      </c>
      <c r="C166" s="38">
        <f t="shared" si="46"/>
        <v>16384</v>
      </c>
      <c r="D166" s="38">
        <f t="shared" si="47"/>
        <v>3023</v>
      </c>
      <c r="E166" s="35">
        <f t="shared" si="48"/>
        <v>47.234375</v>
      </c>
      <c r="G166" s="35">
        <f t="shared" si="49"/>
        <v>3.9069050226310624</v>
      </c>
      <c r="H166" s="35">
        <f t="shared" si="50"/>
        <v>6396</v>
      </c>
      <c r="I166" s="35">
        <v>1.7</v>
      </c>
      <c r="J166" s="35">
        <f t="shared" si="51"/>
        <v>10.561765263627708</v>
      </c>
      <c r="K166" s="35">
        <f t="shared" si="52"/>
        <v>-4.9548602409966449</v>
      </c>
      <c r="L166" s="35">
        <f t="shared" si="53"/>
        <v>-9.9911840946682595E-2</v>
      </c>
      <c r="N166" s="39" t="s">
        <v>223</v>
      </c>
    </row>
    <row r="167" spans="2:14" x14ac:dyDescent="0.25">
      <c r="B167" s="38">
        <f t="shared" si="45"/>
        <v>74994</v>
      </c>
      <c r="C167" s="38">
        <f t="shared" si="46"/>
        <v>16384</v>
      </c>
      <c r="D167" s="38">
        <f t="shared" si="47"/>
        <v>2880</v>
      </c>
      <c r="E167" s="35">
        <f t="shared" si="48"/>
        <v>45</v>
      </c>
      <c r="G167" s="35">
        <f t="shared" si="49"/>
        <v>3.737081014386348</v>
      </c>
      <c r="H167" s="35">
        <f t="shared" si="50"/>
        <v>7194.9963099630986</v>
      </c>
      <c r="I167" s="35">
        <v>1.7</v>
      </c>
      <c r="J167" s="35">
        <f t="shared" si="51"/>
        <v>10.491853096329676</v>
      </c>
      <c r="K167" s="35">
        <f t="shared" si="52"/>
        <v>-5.0547720819433275</v>
      </c>
      <c r="L167" s="35">
        <f t="shared" si="53"/>
        <v>-9.9553795849041116E-2</v>
      </c>
      <c r="N167" s="39" t="s">
        <v>224</v>
      </c>
    </row>
    <row r="168" spans="2:14" x14ac:dyDescent="0.25">
      <c r="B168" s="38">
        <f t="shared" si="45"/>
        <v>83332</v>
      </c>
      <c r="C168" s="38">
        <f t="shared" si="46"/>
        <v>16384</v>
      </c>
      <c r="D168" s="38">
        <f t="shared" si="47"/>
        <v>2777</v>
      </c>
      <c r="E168" s="35">
        <f t="shared" si="48"/>
        <v>43.390625</v>
      </c>
      <c r="G168" s="35">
        <f t="shared" si="49"/>
        <v>3.5849855840264779</v>
      </c>
      <c r="H168" s="35">
        <f t="shared" si="50"/>
        <v>7994.9520295202938</v>
      </c>
      <c r="I168" s="35">
        <v>1.7</v>
      </c>
      <c r="J168" s="35">
        <f t="shared" si="51"/>
        <v>10.439311461818846</v>
      </c>
      <c r="K168" s="35">
        <f t="shared" si="52"/>
        <v>-5.1543258777923686</v>
      </c>
      <c r="L168" s="35">
        <f t="shared" si="53"/>
        <v>-0.10033204441918997</v>
      </c>
      <c r="N168" s="39" t="s">
        <v>225</v>
      </c>
    </row>
    <row r="169" spans="2:14" x14ac:dyDescent="0.25">
      <c r="B169" s="38">
        <f t="shared" si="45"/>
        <v>83332</v>
      </c>
      <c r="C169" s="38">
        <f t="shared" si="46"/>
        <v>16384</v>
      </c>
      <c r="D169" s="38">
        <f t="shared" si="47"/>
        <v>2977</v>
      </c>
      <c r="E169" s="35">
        <f t="shared" si="48"/>
        <v>46.515625</v>
      </c>
      <c r="G169" s="35">
        <f t="shared" si="49"/>
        <v>3.5849855840264779</v>
      </c>
      <c r="H169" s="35">
        <f t="shared" si="50"/>
        <v>7994.9520295202938</v>
      </c>
      <c r="I169" s="35">
        <v>1.7</v>
      </c>
      <c r="J169" s="35">
        <f t="shared" si="51"/>
        <v>10.539643506238036</v>
      </c>
      <c r="K169" s="35">
        <f t="shared" si="52"/>
        <v>-5.2546579222115586</v>
      </c>
      <c r="L169" s="35">
        <f t="shared" si="53"/>
        <v>-9.9615358628240003E-2</v>
      </c>
      <c r="N169" s="39" t="s">
        <v>226</v>
      </c>
    </row>
    <row r="170" spans="2:14" x14ac:dyDescent="0.25">
      <c r="B170" s="38">
        <f t="shared" si="45"/>
        <v>91660</v>
      </c>
      <c r="C170" s="38">
        <f t="shared" si="46"/>
        <v>16384</v>
      </c>
      <c r="D170" s="38">
        <f t="shared" si="47"/>
        <v>2900</v>
      </c>
      <c r="E170" s="35">
        <f t="shared" si="48"/>
        <v>45.3125</v>
      </c>
      <c r="G170" s="35">
        <f t="shared" si="49"/>
        <v>3.4475639040624997</v>
      </c>
      <c r="H170" s="35">
        <f t="shared" si="50"/>
        <v>8793.9483394833933</v>
      </c>
      <c r="I170" s="35">
        <v>1.7</v>
      </c>
      <c r="J170" s="35">
        <f t="shared" si="51"/>
        <v>10.501837184902298</v>
      </c>
      <c r="K170" s="35">
        <f t="shared" si="52"/>
        <v>-5.3542732808397986</v>
      </c>
      <c r="L170" s="35">
        <f t="shared" si="53"/>
        <v>-0.10002410357414604</v>
      </c>
      <c r="N170" s="39" t="s">
        <v>227</v>
      </c>
    </row>
    <row r="171" spans="2:14" x14ac:dyDescent="0.25">
      <c r="B171" s="38">
        <f t="shared" si="45"/>
        <v>99999</v>
      </c>
      <c r="C171" s="38">
        <f t="shared" si="46"/>
        <v>16384</v>
      </c>
      <c r="D171" s="38">
        <f t="shared" si="47"/>
        <v>2849</v>
      </c>
      <c r="E171" s="35">
        <f t="shared" si="48"/>
        <v>44.515625</v>
      </c>
      <c r="G171" s="35">
        <f t="shared" si="49"/>
        <v>3.3219425219099064</v>
      </c>
      <c r="H171" s="35">
        <f t="shared" si="50"/>
        <v>9593.9999999999982</v>
      </c>
      <c r="I171" s="35">
        <v>1.7</v>
      </c>
      <c r="J171" s="35">
        <f t="shared" si="51"/>
        <v>10.476239906323851</v>
      </c>
      <c r="K171" s="35">
        <f t="shared" si="52"/>
        <v>-5.4542973844139446</v>
      </c>
      <c r="L171" s="35">
        <f t="shared" si="53"/>
        <v>-9.551273717969444E-2</v>
      </c>
      <c r="N171" s="39" t="s">
        <v>228</v>
      </c>
    </row>
    <row r="172" spans="2:14" x14ac:dyDescent="0.25">
      <c r="B172" s="38">
        <f t="shared" si="45"/>
        <v>99999</v>
      </c>
      <c r="C172" s="38">
        <f t="shared" si="46"/>
        <v>16384</v>
      </c>
      <c r="D172" s="38">
        <f t="shared" si="47"/>
        <v>3044</v>
      </c>
      <c r="E172" s="35">
        <f t="shared" si="48"/>
        <v>47.5625</v>
      </c>
      <c r="G172" s="35">
        <f t="shared" si="49"/>
        <v>3.3219425219099064</v>
      </c>
      <c r="H172" s="35">
        <f t="shared" si="50"/>
        <v>9593.9999999999982</v>
      </c>
      <c r="I172" s="35">
        <v>1.7</v>
      </c>
      <c r="J172" s="35">
        <f t="shared" si="51"/>
        <v>10.571752643503546</v>
      </c>
      <c r="K172" s="35">
        <f t="shared" si="52"/>
        <v>-5.5498101215936391</v>
      </c>
      <c r="L172" s="35">
        <f t="shared" si="53"/>
        <v>-9.9788423208337917E-2</v>
      </c>
      <c r="N172" s="39" t="s">
        <v>229</v>
      </c>
    </row>
    <row r="173" spans="2:14" x14ac:dyDescent="0.25">
      <c r="B173" s="38">
        <f t="shared" si="45"/>
        <v>99999</v>
      </c>
      <c r="C173" s="38">
        <f t="shared" si="46"/>
        <v>16384</v>
      </c>
      <c r="D173" s="38">
        <f t="shared" si="47"/>
        <v>3262</v>
      </c>
      <c r="E173" s="35">
        <f t="shared" si="48"/>
        <v>50.96875</v>
      </c>
      <c r="G173" s="35">
        <f t="shared" si="49"/>
        <v>3.3219425219099064</v>
      </c>
      <c r="H173" s="35">
        <f t="shared" si="50"/>
        <v>9593.9999999999982</v>
      </c>
      <c r="I173" s="35">
        <v>1.7</v>
      </c>
      <c r="J173" s="35">
        <f t="shared" si="51"/>
        <v>10.671541066711884</v>
      </c>
      <c r="K173" s="35">
        <f t="shared" si="52"/>
        <v>-5.649598544801977</v>
      </c>
      <c r="L173" s="35">
        <f t="shared" si="53"/>
        <v>-9.994840278871564E-2</v>
      </c>
      <c r="N173" s="39" t="s">
        <v>230</v>
      </c>
    </row>
    <row r="174" spans="2:14" x14ac:dyDescent="0.25">
      <c r="B174" s="38">
        <f t="shared" si="45"/>
        <v>99999</v>
      </c>
      <c r="C174" s="38">
        <f t="shared" si="46"/>
        <v>16384</v>
      </c>
      <c r="D174" s="38">
        <f t="shared" si="47"/>
        <v>3496</v>
      </c>
      <c r="E174" s="35">
        <f t="shared" si="48"/>
        <v>54.625</v>
      </c>
      <c r="G174" s="35">
        <f t="shared" si="49"/>
        <v>3.3219425219099064</v>
      </c>
      <c r="H174" s="35">
        <f t="shared" si="50"/>
        <v>9593.9999999999982</v>
      </c>
      <c r="I174" s="35">
        <v>1.7</v>
      </c>
      <c r="J174" s="35">
        <f t="shared" si="51"/>
        <v>10.771489469500599</v>
      </c>
      <c r="K174" s="35">
        <f t="shared" si="52"/>
        <v>-5.7495469475906926</v>
      </c>
      <c r="L174" s="35">
        <f t="shared" si="53"/>
        <v>-9.9645714742447211E-2</v>
      </c>
      <c r="N174" s="39" t="s">
        <v>231</v>
      </c>
    </row>
    <row r="175" spans="2:14" x14ac:dyDescent="0.25">
      <c r="B175" s="38">
        <f t="shared" si="45"/>
        <v>99999</v>
      </c>
      <c r="C175" s="38">
        <f t="shared" si="46"/>
        <v>16384</v>
      </c>
      <c r="D175" s="38">
        <f t="shared" si="47"/>
        <v>3746</v>
      </c>
      <c r="E175" s="35">
        <f t="shared" si="48"/>
        <v>58.53125</v>
      </c>
      <c r="G175" s="35">
        <f t="shared" si="49"/>
        <v>3.3219425219099064</v>
      </c>
      <c r="H175" s="35">
        <f t="shared" si="50"/>
        <v>9593.9999999999982</v>
      </c>
      <c r="I175" s="35">
        <v>1.7</v>
      </c>
      <c r="J175" s="35">
        <f t="shared" si="51"/>
        <v>10.871135184243046</v>
      </c>
      <c r="K175" s="35">
        <f t="shared" si="52"/>
        <v>-5.8491926623331398</v>
      </c>
      <c r="L175" s="35">
        <f t="shared" si="53"/>
        <v>-0.10004908816163116</v>
      </c>
      <c r="N175" s="39" t="s">
        <v>232</v>
      </c>
    </row>
    <row r="176" spans="2:14" x14ac:dyDescent="0.25">
      <c r="B176" s="38">
        <f t="shared" si="45"/>
        <v>99999</v>
      </c>
      <c r="C176" s="38">
        <f t="shared" si="46"/>
        <v>16384</v>
      </c>
      <c r="D176" s="38">
        <f t="shared" si="47"/>
        <v>4015</v>
      </c>
      <c r="E176" s="35">
        <f t="shared" si="48"/>
        <v>62.734375</v>
      </c>
      <c r="G176" s="35">
        <f t="shared" si="49"/>
        <v>3.3219425219099064</v>
      </c>
      <c r="H176" s="35">
        <f t="shared" si="50"/>
        <v>9593.9999999999982</v>
      </c>
      <c r="I176" s="35">
        <v>1.7</v>
      </c>
      <c r="J176" s="35">
        <f t="shared" si="51"/>
        <v>10.971184272404678</v>
      </c>
      <c r="K176" s="35">
        <f t="shared" si="52"/>
        <v>-5.949241750494771</v>
      </c>
      <c r="L176" s="35">
        <f t="shared" si="53"/>
        <v>-2.8815727595322471E-2</v>
      </c>
      <c r="N176" s="39" t="s">
        <v>233</v>
      </c>
    </row>
    <row r="177" spans="2:14" x14ac:dyDescent="0.25">
      <c r="B177" s="38">
        <f t="shared" si="45"/>
        <v>99999</v>
      </c>
      <c r="C177" s="38">
        <f t="shared" si="46"/>
        <v>16384</v>
      </c>
      <c r="D177" s="38">
        <f t="shared" si="47"/>
        <v>4096</v>
      </c>
      <c r="E177" s="35">
        <f t="shared" si="48"/>
        <v>64</v>
      </c>
      <c r="G177" s="35">
        <f t="shared" si="49"/>
        <v>3.3219425219099064</v>
      </c>
      <c r="H177" s="35">
        <f t="shared" si="50"/>
        <v>9593.9999999999982</v>
      </c>
      <c r="I177" s="35">
        <v>1.7</v>
      </c>
      <c r="J177" s="35">
        <f t="shared" si="51"/>
        <v>11</v>
      </c>
      <c r="K177" s="35">
        <f t="shared" si="52"/>
        <v>-5.9780574780900935</v>
      </c>
      <c r="N177" s="39" t="s">
        <v>234</v>
      </c>
    </row>
    <row r="178" spans="2:14" x14ac:dyDescent="0.25">
      <c r="N178" s="39" t="s">
        <v>235</v>
      </c>
    </row>
    <row r="179" spans="2:14" x14ac:dyDescent="0.25">
      <c r="N179" s="39" t="s">
        <v>235</v>
      </c>
    </row>
    <row r="180" spans="2:14" x14ac:dyDescent="0.25">
      <c r="N180" s="39" t="s">
        <v>235</v>
      </c>
    </row>
    <row r="181" spans="2:14" x14ac:dyDescent="0.25">
      <c r="N181" s="39" t="s">
        <v>235</v>
      </c>
    </row>
    <row r="182" spans="2:14" x14ac:dyDescent="0.25">
      <c r="N182" s="39" t="s">
        <v>235</v>
      </c>
    </row>
    <row r="183" spans="2:14" x14ac:dyDescent="0.25">
      <c r="N183" s="39" t="s">
        <v>235</v>
      </c>
    </row>
    <row r="184" spans="2:14" x14ac:dyDescent="0.25">
      <c r="N184" s="39" t="s">
        <v>235</v>
      </c>
    </row>
    <row r="185" spans="2:14" x14ac:dyDescent="0.25">
      <c r="N185" s="39" t="s">
        <v>235</v>
      </c>
    </row>
    <row r="186" spans="2:14" x14ac:dyDescent="0.25">
      <c r="N186" s="39" t="s">
        <v>235</v>
      </c>
    </row>
    <row r="187" spans="2:14" x14ac:dyDescent="0.25">
      <c r="N187" s="39" t="s">
        <v>235</v>
      </c>
    </row>
    <row r="188" spans="2:14" x14ac:dyDescent="0.25">
      <c r="N188" s="39" t="s">
        <v>235</v>
      </c>
    </row>
    <row r="189" spans="2:14" x14ac:dyDescent="0.25">
      <c r="N189" s="39" t="s">
        <v>235</v>
      </c>
    </row>
    <row r="190" spans="2:14" x14ac:dyDescent="0.25">
      <c r="N190" s="39" t="s">
        <v>235</v>
      </c>
    </row>
    <row r="191" spans="2:14" x14ac:dyDescent="0.25">
      <c r="N191" s="39" t="s">
        <v>235</v>
      </c>
    </row>
    <row r="192" spans="2:14" x14ac:dyDescent="0.25">
      <c r="N192" s="39" t="s">
        <v>235</v>
      </c>
    </row>
    <row r="193" spans="14:14" x14ac:dyDescent="0.25">
      <c r="N193" s="39" t="s">
        <v>235</v>
      </c>
    </row>
    <row r="194" spans="14:14" x14ac:dyDescent="0.25">
      <c r="N194" s="39" t="s">
        <v>235</v>
      </c>
    </row>
    <row r="195" spans="14:14" x14ac:dyDescent="0.25">
      <c r="N195" s="39" t="s">
        <v>235</v>
      </c>
    </row>
    <row r="196" spans="14:14" x14ac:dyDescent="0.25">
      <c r="N196" s="39" t="s">
        <v>235</v>
      </c>
    </row>
    <row r="197" spans="14:14" x14ac:dyDescent="0.25">
      <c r="N197" s="39" t="s">
        <v>235</v>
      </c>
    </row>
    <row r="198" spans="14:14" x14ac:dyDescent="0.25">
      <c r="N198" s="39" t="s">
        <v>235</v>
      </c>
    </row>
    <row r="199" spans="14:14" x14ac:dyDescent="0.25">
      <c r="N199" s="39" t="s">
        <v>235</v>
      </c>
    </row>
    <row r="200" spans="14:14" x14ac:dyDescent="0.25">
      <c r="N200" s="39" t="s">
        <v>235</v>
      </c>
    </row>
    <row r="201" spans="14:14" x14ac:dyDescent="0.25">
      <c r="N201" s="39" t="s">
        <v>235</v>
      </c>
    </row>
    <row r="202" spans="14:14" x14ac:dyDescent="0.25">
      <c r="N202" s="39" t="s">
        <v>235</v>
      </c>
    </row>
  </sheetData>
  <phoneticPr fontId="2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0.mtkFaceAEdetect</vt:lpstr>
      <vt:lpstr>AEPline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Vance Huang (黃俊瑋)</dc:creator>
  <cp:lastModifiedBy>9290</cp:lastModifiedBy>
  <dcterms:created xsi:type="dcterms:W3CDTF">2019-10-29T06:27:27Z</dcterms:created>
  <dcterms:modified xsi:type="dcterms:W3CDTF">2024-01-19T07:00:41Z</dcterms:modified>
</cp:coreProperties>
</file>