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18.mtkclassifyTONEanalysis\"/>
    </mc:Choice>
  </mc:AlternateContent>
  <xr:revisionPtr revIDLastSave="0" documentId="13_ncr:1_{BA97CA37-C6D5-42E3-9D8F-8B062AC4F28F}" xr6:coauthVersionLast="47" xr6:coauthVersionMax="47" xr10:uidLastSave="{00000000-0000-0000-0000-000000000000}"/>
  <bookViews>
    <workbookView xWindow="-120" yWindow="-17025" windowWidth="29040" windowHeight="15840" xr2:uid="{00000000-000D-0000-FFFF-FFFF00000000}"/>
  </bookViews>
  <sheets>
    <sheet name="0.mtkTONEanalysis" sheetId="1" r:id="rId1"/>
  </sheets>
  <definedNames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" i="1" l="1"/>
  <c r="Q19" i="1"/>
  <c r="P19" i="1"/>
  <c r="O19" i="1"/>
  <c r="N19" i="1"/>
  <c r="M19" i="1"/>
  <c r="L19" i="1"/>
  <c r="K19" i="1"/>
  <c r="AB18" i="1"/>
  <c r="AA18" i="1"/>
  <c r="Z18" i="1"/>
  <c r="Y18" i="1"/>
  <c r="X18" i="1"/>
  <c r="W18" i="1"/>
  <c r="V18" i="1"/>
  <c r="U18" i="1"/>
  <c r="R18" i="1"/>
  <c r="Q18" i="1"/>
  <c r="P18" i="1"/>
  <c r="O18" i="1"/>
  <c r="N18" i="1"/>
  <c r="M18" i="1"/>
  <c r="L18" i="1"/>
  <c r="K18" i="1"/>
  <c r="BI118" i="1" l="1"/>
  <c r="BH118" i="1"/>
  <c r="BC118" i="1"/>
  <c r="BG118" i="1" s="1"/>
  <c r="AS118" i="1"/>
  <c r="AK118" i="1"/>
  <c r="AL118" i="1" s="1"/>
  <c r="AH118" i="1"/>
  <c r="Z118" i="1"/>
  <c r="BI113" i="1"/>
  <c r="BH113" i="1"/>
  <c r="BC113" i="1"/>
  <c r="BG113" i="1" s="1"/>
  <c r="AS113" i="1"/>
  <c r="AK113" i="1"/>
  <c r="AL113" i="1" s="1"/>
  <c r="AH113" i="1"/>
  <c r="AY113" i="1" s="1"/>
  <c r="Z113" i="1"/>
  <c r="BI108" i="1"/>
  <c r="BC108" i="1"/>
  <c r="BG108" i="1" s="1"/>
  <c r="AS108" i="1"/>
  <c r="AK108" i="1"/>
  <c r="AL108" i="1" s="1"/>
  <c r="AH108" i="1"/>
  <c r="AY108" i="1" s="1"/>
  <c r="Z108" i="1"/>
  <c r="BI103" i="1"/>
  <c r="BH103" i="1"/>
  <c r="BC103" i="1"/>
  <c r="BG103" i="1" s="1"/>
  <c r="AS103" i="1"/>
  <c r="AK103" i="1"/>
  <c r="AL103" i="1" s="1"/>
  <c r="AH103" i="1"/>
  <c r="Z103" i="1"/>
  <c r="BH98" i="1"/>
  <c r="BC98" i="1"/>
  <c r="BG98" i="1" s="1"/>
  <c r="AL98" i="1"/>
  <c r="AK98" i="1"/>
  <c r="AH98" i="1"/>
  <c r="AY98" i="1" s="1"/>
  <c r="Z98" i="1"/>
  <c r="BI93" i="1"/>
  <c r="BH93" i="1"/>
  <c r="BC93" i="1"/>
  <c r="BG93" i="1" s="1"/>
  <c r="AS93" i="1"/>
  <c r="AK93" i="1"/>
  <c r="AL93" i="1" s="1"/>
  <c r="AH93" i="1"/>
  <c r="Z93" i="1"/>
  <c r="BI88" i="1"/>
  <c r="BH88" i="1"/>
  <c r="BD88" i="1"/>
  <c r="BC88" i="1"/>
  <c r="BG88" i="1" s="1"/>
  <c r="AS88" i="1"/>
  <c r="AK88" i="1"/>
  <c r="AL88" i="1" s="1"/>
  <c r="AI88" i="1"/>
  <c r="AX88" i="1" s="1"/>
  <c r="AH88" i="1"/>
  <c r="AY88" i="1" s="1"/>
  <c r="AE88" i="1"/>
  <c r="AF88" i="1" s="1"/>
  <c r="AA88" i="1"/>
  <c r="AA91" i="1" s="1"/>
  <c r="Z88" i="1"/>
  <c r="BI83" i="1"/>
  <c r="BH83" i="1"/>
  <c r="BG83" i="1"/>
  <c r="BC83" i="1"/>
  <c r="BF83" i="1" s="1"/>
  <c r="AS83" i="1"/>
  <c r="AK83" i="1"/>
  <c r="AL83" i="1" s="1"/>
  <c r="AH83" i="1"/>
  <c r="AW83" i="1" s="1"/>
  <c r="Z83" i="1"/>
  <c r="BI78" i="1"/>
  <c r="BH78" i="1"/>
  <c r="BC78" i="1"/>
  <c r="BG78" i="1" s="1"/>
  <c r="AS78" i="1"/>
  <c r="AK78" i="1"/>
  <c r="AL78" i="1" s="1"/>
  <c r="AH78" i="1"/>
  <c r="Z78" i="1"/>
  <c r="BH73" i="1"/>
  <c r="BC73" i="1"/>
  <c r="BG73" i="1" s="1"/>
  <c r="AK73" i="1"/>
  <c r="AL73" i="1" s="1"/>
  <c r="AH73" i="1"/>
  <c r="AY73" i="1" s="1"/>
  <c r="Z73" i="1"/>
  <c r="BH68" i="1"/>
  <c r="BC68" i="1"/>
  <c r="BG68" i="1" s="1"/>
  <c r="AK68" i="1"/>
  <c r="AL68" i="1" s="1"/>
  <c r="AH68" i="1"/>
  <c r="AY68" i="1" s="1"/>
  <c r="Z68" i="1"/>
  <c r="BH63" i="1"/>
  <c r="BC63" i="1"/>
  <c r="BG63" i="1" s="1"/>
  <c r="AL63" i="1"/>
  <c r="AK63" i="1"/>
  <c r="AH63" i="1"/>
  <c r="AY63" i="1" s="1"/>
  <c r="Z63" i="1"/>
  <c r="BI58" i="1"/>
  <c r="BH58" i="1"/>
  <c r="BG58" i="1"/>
  <c r="BF58" i="1"/>
  <c r="BC58" i="1"/>
  <c r="BE58" i="1" s="1"/>
  <c r="AS58" i="1"/>
  <c r="AL58" i="1"/>
  <c r="AY58" i="1" s="1"/>
  <c r="AK58" i="1"/>
  <c r="AH58" i="1"/>
  <c r="AW58" i="1" s="1"/>
  <c r="Z58" i="1"/>
  <c r="BC53" i="1"/>
  <c r="BG53" i="1" s="1"/>
  <c r="AK53" i="1"/>
  <c r="AL53" i="1" s="1"/>
  <c r="AH53" i="1"/>
  <c r="AY53" i="1" s="1"/>
  <c r="Z53" i="1"/>
  <c r="BI48" i="1"/>
  <c r="BH48" i="1"/>
  <c r="BC48" i="1"/>
  <c r="BG48" i="1" s="1"/>
  <c r="AS48" i="1"/>
  <c r="AK48" i="1"/>
  <c r="AL48" i="1" s="1"/>
  <c r="AH48" i="1"/>
  <c r="Z48" i="1"/>
  <c r="BI43" i="1"/>
  <c r="BH43" i="1"/>
  <c r="BC43" i="1"/>
  <c r="BG43" i="1" s="1"/>
  <c r="AK43" i="1"/>
  <c r="AL43" i="1" s="1"/>
  <c r="AH43" i="1"/>
  <c r="Z43" i="1"/>
  <c r="BI38" i="1"/>
  <c r="BH38" i="1"/>
  <c r="BF38" i="1"/>
  <c r="BC38" i="1"/>
  <c r="BG38" i="1" s="1"/>
  <c r="AS38" i="1"/>
  <c r="AL38" i="1"/>
  <c r="AK38" i="1"/>
  <c r="AH38" i="1"/>
  <c r="AY38" i="1" s="1"/>
  <c r="Z38" i="1"/>
  <c r="BI33" i="1"/>
  <c r="BC33" i="1"/>
  <c r="BG33" i="1" s="1"/>
  <c r="AS33" i="1"/>
  <c r="AK33" i="1"/>
  <c r="AL33" i="1" s="1"/>
  <c r="AH33" i="1"/>
  <c r="AY33" i="1" s="1"/>
  <c r="Z33" i="1"/>
  <c r="BI28" i="1"/>
  <c r="BC28" i="1"/>
  <c r="BG28" i="1" s="1"/>
  <c r="AS28" i="1"/>
  <c r="AK28" i="1"/>
  <c r="AL28" i="1" s="1"/>
  <c r="AH28" i="1"/>
  <c r="Z28" i="1"/>
  <c r="AA26" i="1"/>
  <c r="Y26" i="1"/>
  <c r="X26" i="1" s="1"/>
  <c r="Z26" i="1" s="1"/>
  <c r="Z23" i="1"/>
  <c r="AA23" i="1"/>
  <c r="W23" i="1"/>
  <c r="BG23" i="1"/>
  <c r="BE23" i="1"/>
  <c r="BD23" i="1"/>
  <c r="BC23" i="1"/>
  <c r="BI23" i="1" s="1"/>
  <c r="AZ23" i="1"/>
  <c r="AY23" i="1"/>
  <c r="AX23" i="1"/>
  <c r="AW23" i="1"/>
  <c r="BB23" i="1" s="1"/>
  <c r="AN23" i="1" s="1"/>
  <c r="AV23" i="1"/>
  <c r="AU23" i="1"/>
  <c r="AT23" i="1"/>
  <c r="AS23" i="1"/>
  <c r="BA23" i="1" s="1"/>
  <c r="AM23" i="1" s="1"/>
  <c r="AL23" i="1"/>
  <c r="AK23" i="1"/>
  <c r="AY118" i="1" l="1"/>
  <c r="AU118" i="1"/>
  <c r="AI118" i="1"/>
  <c r="BD118" i="1"/>
  <c r="AW118" i="1"/>
  <c r="BE118" i="1"/>
  <c r="BF118" i="1"/>
  <c r="AU113" i="1"/>
  <c r="AI113" i="1"/>
  <c r="BD113" i="1"/>
  <c r="AW113" i="1"/>
  <c r="BE113" i="1"/>
  <c r="BF113" i="1"/>
  <c r="BH108" i="1"/>
  <c r="AU108" i="1"/>
  <c r="AI108" i="1"/>
  <c r="BD108" i="1"/>
  <c r="AW108" i="1"/>
  <c r="BE108" i="1"/>
  <c r="BF108" i="1"/>
  <c r="AY103" i="1"/>
  <c r="AU103" i="1"/>
  <c r="AI103" i="1"/>
  <c r="BD103" i="1"/>
  <c r="AW103" i="1"/>
  <c r="BE103" i="1"/>
  <c r="BF103" i="1"/>
  <c r="AE98" i="1"/>
  <c r="AS98" i="1"/>
  <c r="BI98" i="1"/>
  <c r="AI98" i="1"/>
  <c r="BD98" i="1"/>
  <c r="AW98" i="1"/>
  <c r="BE98" i="1"/>
  <c r="AU98" i="1"/>
  <c r="BF98" i="1"/>
  <c r="AY93" i="1"/>
  <c r="AU93" i="1"/>
  <c r="AI93" i="1"/>
  <c r="BD93" i="1"/>
  <c r="AW93" i="1"/>
  <c r="BE93" i="1"/>
  <c r="BF93" i="1"/>
  <c r="AV88" i="1"/>
  <c r="AZ88" i="1"/>
  <c r="BK88" i="1"/>
  <c r="AT88" i="1"/>
  <c r="BA88" i="1" s="1"/>
  <c r="AM88" i="1" s="1"/>
  <c r="BJ88" i="1"/>
  <c r="W88" i="1"/>
  <c r="AU88" i="1"/>
  <c r="AW88" i="1"/>
  <c r="BB88" i="1" s="1"/>
  <c r="AN88" i="1" s="1"/>
  <c r="BE88" i="1"/>
  <c r="Y91" i="1"/>
  <c r="X91" i="1" s="1"/>
  <c r="Z91" i="1" s="1"/>
  <c r="BF88" i="1"/>
  <c r="AV83" i="1"/>
  <c r="AY83" i="1"/>
  <c r="AU83" i="1"/>
  <c r="AI83" i="1"/>
  <c r="BD83" i="1"/>
  <c r="BE83" i="1"/>
  <c r="AY78" i="1"/>
  <c r="AU78" i="1"/>
  <c r="AI78" i="1"/>
  <c r="BD78" i="1"/>
  <c r="AW78" i="1"/>
  <c r="BE78" i="1"/>
  <c r="BF78" i="1"/>
  <c r="AS73" i="1"/>
  <c r="BI73" i="1"/>
  <c r="AI73" i="1"/>
  <c r="BD73" i="1"/>
  <c r="AW73" i="1"/>
  <c r="BE73" i="1"/>
  <c r="AU73" i="1"/>
  <c r="BF73" i="1"/>
  <c r="AS68" i="1"/>
  <c r="BI68" i="1"/>
  <c r="AU68" i="1"/>
  <c r="AI68" i="1"/>
  <c r="BD68" i="1"/>
  <c r="AW68" i="1"/>
  <c r="BE68" i="1"/>
  <c r="BF68" i="1"/>
  <c r="AS63" i="1"/>
  <c r="BI63" i="1"/>
  <c r="AU63" i="1"/>
  <c r="AI63" i="1"/>
  <c r="BD63" i="1"/>
  <c r="AW63" i="1"/>
  <c r="BE63" i="1"/>
  <c r="BF63" i="1"/>
  <c r="AU58" i="1"/>
  <c r="AI58" i="1"/>
  <c r="AV58" i="1"/>
  <c r="BD58" i="1"/>
  <c r="BH53" i="1"/>
  <c r="AS53" i="1"/>
  <c r="BI53" i="1"/>
  <c r="AI53" i="1"/>
  <c r="BD53" i="1"/>
  <c r="AW53" i="1"/>
  <c r="BE53" i="1"/>
  <c r="BF53" i="1"/>
  <c r="AU53" i="1"/>
  <c r="AY48" i="1"/>
  <c r="AU48" i="1"/>
  <c r="AI48" i="1"/>
  <c r="BD48" i="1"/>
  <c r="AW48" i="1"/>
  <c r="BE48" i="1"/>
  <c r="BF48" i="1"/>
  <c r="AY43" i="1"/>
  <c r="AS43" i="1"/>
  <c r="AU43" i="1"/>
  <c r="AI43" i="1"/>
  <c r="BD43" i="1"/>
  <c r="AW43" i="1"/>
  <c r="BE43" i="1"/>
  <c r="BF43" i="1"/>
  <c r="AU38" i="1"/>
  <c r="AI38" i="1"/>
  <c r="BD38" i="1"/>
  <c r="AW38" i="1"/>
  <c r="BE38" i="1"/>
  <c r="AV33" i="1"/>
  <c r="BH33" i="1"/>
  <c r="AU33" i="1"/>
  <c r="AI33" i="1"/>
  <c r="BD33" i="1"/>
  <c r="AW33" i="1"/>
  <c r="BE33" i="1"/>
  <c r="BF33" i="1"/>
  <c r="AY28" i="1"/>
  <c r="BH28" i="1"/>
  <c r="AU28" i="1"/>
  <c r="AI28" i="1"/>
  <c r="BD28" i="1"/>
  <c r="AW28" i="1"/>
  <c r="BE28" i="1"/>
  <c r="BF28" i="1"/>
  <c r="BK23" i="1"/>
  <c r="BF23" i="1"/>
  <c r="BH23" i="1"/>
  <c r="BJ23" i="1"/>
  <c r="AF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3" i="1"/>
  <c r="I3" i="1"/>
  <c r="J2" i="1"/>
  <c r="I2" i="1"/>
  <c r="BK118" i="1" l="1"/>
  <c r="BJ118" i="1"/>
  <c r="AX118" i="1"/>
  <c r="AT118" i="1"/>
  <c r="AE118" i="1"/>
  <c r="AZ118" i="1"/>
  <c r="BB118" i="1"/>
  <c r="AN118" i="1" s="1"/>
  <c r="AV118" i="1"/>
  <c r="BK113" i="1"/>
  <c r="BJ113" i="1"/>
  <c r="AX113" i="1"/>
  <c r="BB113" i="1" s="1"/>
  <c r="AN113" i="1" s="1"/>
  <c r="AE113" i="1"/>
  <c r="AZ113" i="1"/>
  <c r="AT113" i="1"/>
  <c r="AV113" i="1"/>
  <c r="BK108" i="1"/>
  <c r="BJ108" i="1"/>
  <c r="AX108" i="1"/>
  <c r="AE108" i="1"/>
  <c r="AT108" i="1"/>
  <c r="AZ108" i="1"/>
  <c r="BB108" i="1"/>
  <c r="AN108" i="1" s="1"/>
  <c r="AV108" i="1"/>
  <c r="BK103" i="1"/>
  <c r="BJ103" i="1"/>
  <c r="AX103" i="1"/>
  <c r="BB103" i="1" s="1"/>
  <c r="AN103" i="1" s="1"/>
  <c r="AT103" i="1"/>
  <c r="AZ103" i="1"/>
  <c r="AE103" i="1"/>
  <c r="AV103" i="1"/>
  <c r="BK98" i="1"/>
  <c r="BJ98" i="1"/>
  <c r="AX98" i="1"/>
  <c r="BB98" i="1" s="1"/>
  <c r="AN98" i="1" s="1"/>
  <c r="AZ98" i="1"/>
  <c r="AT98" i="1"/>
  <c r="BA98" i="1" s="1"/>
  <c r="AM98" i="1" s="1"/>
  <c r="AA98" i="1"/>
  <c r="AF98" i="1"/>
  <c r="AV98" i="1"/>
  <c r="BK93" i="1"/>
  <c r="BJ93" i="1"/>
  <c r="AX93" i="1"/>
  <c r="AE93" i="1"/>
  <c r="AZ93" i="1"/>
  <c r="BB93" i="1" s="1"/>
  <c r="AN93" i="1" s="1"/>
  <c r="AT93" i="1"/>
  <c r="AV93" i="1"/>
  <c r="AX83" i="1"/>
  <c r="AE83" i="1"/>
  <c r="AZ83" i="1"/>
  <c r="AT83" i="1"/>
  <c r="BA83" i="1" s="1"/>
  <c r="AM83" i="1" s="1"/>
  <c r="BK83" i="1"/>
  <c r="BJ83" i="1"/>
  <c r="BK78" i="1"/>
  <c r="BJ78" i="1"/>
  <c r="AX78" i="1"/>
  <c r="AE78" i="1"/>
  <c r="AZ78" i="1"/>
  <c r="AT78" i="1"/>
  <c r="BA78" i="1" s="1"/>
  <c r="AM78" i="1" s="1"/>
  <c r="AV78" i="1"/>
  <c r="BB78" i="1"/>
  <c r="AN78" i="1" s="1"/>
  <c r="BK73" i="1"/>
  <c r="BJ73" i="1"/>
  <c r="AX73" i="1"/>
  <c r="BB73" i="1" s="1"/>
  <c r="AN73" i="1" s="1"/>
  <c r="AZ73" i="1"/>
  <c r="AT73" i="1"/>
  <c r="BA73" i="1"/>
  <c r="AM73" i="1" s="1"/>
  <c r="AE73" i="1"/>
  <c r="AV73" i="1"/>
  <c r="BK68" i="1"/>
  <c r="BJ68" i="1"/>
  <c r="AX68" i="1"/>
  <c r="AZ68" i="1"/>
  <c r="AT68" i="1"/>
  <c r="BA68" i="1" s="1"/>
  <c r="AM68" i="1" s="1"/>
  <c r="AE68" i="1"/>
  <c r="BB68" i="1"/>
  <c r="AN68" i="1" s="1"/>
  <c r="AV68" i="1"/>
  <c r="BB63" i="1"/>
  <c r="AN63" i="1" s="1"/>
  <c r="BK63" i="1"/>
  <c r="BJ63" i="1"/>
  <c r="AX63" i="1"/>
  <c r="AT63" i="1"/>
  <c r="AZ63" i="1"/>
  <c r="AE63" i="1"/>
  <c r="AV63" i="1"/>
  <c r="BA63" i="1" s="1"/>
  <c r="AM63" i="1" s="1"/>
  <c r="BK58" i="1"/>
  <c r="BJ58" i="1"/>
  <c r="AE58" i="1"/>
  <c r="AZ58" i="1"/>
  <c r="AX58" i="1"/>
  <c r="AT58" i="1"/>
  <c r="BA58" i="1" s="1"/>
  <c r="AM58" i="1" s="1"/>
  <c r="AX53" i="1"/>
  <c r="AT53" i="1"/>
  <c r="AZ53" i="1"/>
  <c r="BK53" i="1"/>
  <c r="BJ53" i="1"/>
  <c r="AE53" i="1"/>
  <c r="BB53" i="1"/>
  <c r="AN53" i="1" s="1"/>
  <c r="AV53" i="1"/>
  <c r="BA53" i="1" s="1"/>
  <c r="AM53" i="1" s="1"/>
  <c r="BK48" i="1"/>
  <c r="BJ48" i="1"/>
  <c r="AZ48" i="1"/>
  <c r="AX48" i="1"/>
  <c r="BB48" i="1" s="1"/>
  <c r="AN48" i="1" s="1"/>
  <c r="AE48" i="1"/>
  <c r="AT48" i="1"/>
  <c r="AV48" i="1"/>
  <c r="BK43" i="1"/>
  <c r="BJ43" i="1"/>
  <c r="AX43" i="1"/>
  <c r="BB43" i="1" s="1"/>
  <c r="AN43" i="1" s="1"/>
  <c r="AE43" i="1"/>
  <c r="AZ43" i="1"/>
  <c r="AT43" i="1"/>
  <c r="BA43" i="1" s="1"/>
  <c r="AM43" i="1" s="1"/>
  <c r="AV43" i="1"/>
  <c r="BK38" i="1"/>
  <c r="BJ38" i="1"/>
  <c r="AX38" i="1"/>
  <c r="AE38" i="1"/>
  <c r="AZ38" i="1"/>
  <c r="AT38" i="1"/>
  <c r="BB38" i="1"/>
  <c r="AN38" i="1" s="1"/>
  <c r="AV38" i="1"/>
  <c r="BB33" i="1"/>
  <c r="AN33" i="1" s="1"/>
  <c r="BK33" i="1"/>
  <c r="BJ33" i="1"/>
  <c r="AX33" i="1"/>
  <c r="AT33" i="1"/>
  <c r="BA33" i="1" s="1"/>
  <c r="AM33" i="1" s="1"/>
  <c r="AE33" i="1"/>
  <c r="AZ33" i="1"/>
  <c r="AX28" i="1"/>
  <c r="AE28" i="1"/>
  <c r="AT28" i="1"/>
  <c r="BA28" i="1" s="1"/>
  <c r="AM28" i="1" s="1"/>
  <c r="AZ28" i="1"/>
  <c r="BB28" i="1" s="1"/>
  <c r="AN28" i="1" s="1"/>
  <c r="AV28" i="1"/>
  <c r="BK28" i="1"/>
  <c r="BJ28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A118" i="1" l="1"/>
  <c r="AF118" i="1"/>
  <c r="BA118" i="1"/>
  <c r="AM118" i="1" s="1"/>
  <c r="AA113" i="1"/>
  <c r="AF113" i="1"/>
  <c r="BA113" i="1"/>
  <c r="AM113" i="1" s="1"/>
  <c r="BA108" i="1"/>
  <c r="AM108" i="1" s="1"/>
  <c r="AF108" i="1"/>
  <c r="AA108" i="1"/>
  <c r="BA103" i="1"/>
  <c r="AM103" i="1" s="1"/>
  <c r="AA103" i="1"/>
  <c r="AF103" i="1"/>
  <c r="AA101" i="1"/>
  <c r="Y101" i="1"/>
  <c r="W98" i="1"/>
  <c r="BA93" i="1"/>
  <c r="AM93" i="1" s="1"/>
  <c r="AA93" i="1"/>
  <c r="AF93" i="1"/>
  <c r="AA83" i="1"/>
  <c r="AF83" i="1"/>
  <c r="BB83" i="1"/>
  <c r="AN83" i="1" s="1"/>
  <c r="AA78" i="1"/>
  <c r="AF78" i="1"/>
  <c r="AA73" i="1"/>
  <c r="AF73" i="1"/>
  <c r="AA68" i="1"/>
  <c r="AF68" i="1"/>
  <c r="AA63" i="1"/>
  <c r="AF63" i="1"/>
  <c r="BB58" i="1"/>
  <c r="AN58" i="1" s="1"/>
  <c r="AA58" i="1"/>
  <c r="AF58" i="1"/>
  <c r="AF53" i="1"/>
  <c r="AA53" i="1"/>
  <c r="AA48" i="1"/>
  <c r="AF48" i="1"/>
  <c r="BA48" i="1"/>
  <c r="AM48" i="1" s="1"/>
  <c r="AF43" i="1"/>
  <c r="AA43" i="1"/>
  <c r="BA38" i="1"/>
  <c r="AM38" i="1" s="1"/>
  <c r="AA38" i="1"/>
  <c r="AF38" i="1"/>
  <c r="AF33" i="1"/>
  <c r="AA33" i="1"/>
  <c r="AF28" i="1"/>
  <c r="AA28" i="1"/>
  <c r="AE23" i="1"/>
  <c r="AH23" i="1"/>
  <c r="AI23" i="1" s="1"/>
  <c r="V122" i="1"/>
  <c r="U122" i="1"/>
  <c r="T122" i="1"/>
  <c r="S122" i="1"/>
  <c r="R122" i="1"/>
  <c r="Q122" i="1"/>
  <c r="P122" i="1"/>
  <c r="O122" i="1"/>
  <c r="V120" i="1"/>
  <c r="U120" i="1"/>
  <c r="T120" i="1"/>
  <c r="S120" i="1"/>
  <c r="R120" i="1"/>
  <c r="Q120" i="1"/>
  <c r="P120" i="1"/>
  <c r="O120" i="1"/>
  <c r="V117" i="1"/>
  <c r="U117" i="1"/>
  <c r="T117" i="1"/>
  <c r="S117" i="1"/>
  <c r="R117" i="1"/>
  <c r="Q117" i="1"/>
  <c r="P117" i="1"/>
  <c r="O117" i="1"/>
  <c r="V115" i="1"/>
  <c r="U115" i="1"/>
  <c r="T115" i="1"/>
  <c r="S115" i="1"/>
  <c r="R115" i="1"/>
  <c r="Q115" i="1"/>
  <c r="P115" i="1"/>
  <c r="O115" i="1"/>
  <c r="V112" i="1"/>
  <c r="U112" i="1"/>
  <c r="T112" i="1"/>
  <c r="S112" i="1"/>
  <c r="R112" i="1"/>
  <c r="Q112" i="1"/>
  <c r="P112" i="1"/>
  <c r="O112" i="1"/>
  <c r="V110" i="1"/>
  <c r="U110" i="1"/>
  <c r="T110" i="1"/>
  <c r="S110" i="1"/>
  <c r="R110" i="1"/>
  <c r="Q110" i="1"/>
  <c r="P110" i="1"/>
  <c r="O110" i="1"/>
  <c r="V107" i="1"/>
  <c r="U107" i="1"/>
  <c r="T107" i="1"/>
  <c r="S107" i="1"/>
  <c r="R107" i="1"/>
  <c r="Q107" i="1"/>
  <c r="P107" i="1"/>
  <c r="O107" i="1"/>
  <c r="V105" i="1"/>
  <c r="U105" i="1"/>
  <c r="T105" i="1"/>
  <c r="S105" i="1"/>
  <c r="R105" i="1"/>
  <c r="Q105" i="1"/>
  <c r="P105" i="1"/>
  <c r="O105" i="1"/>
  <c r="V102" i="1"/>
  <c r="U102" i="1"/>
  <c r="T102" i="1"/>
  <c r="S102" i="1"/>
  <c r="R102" i="1"/>
  <c r="Q102" i="1"/>
  <c r="P102" i="1"/>
  <c r="O102" i="1"/>
  <c r="V100" i="1"/>
  <c r="U100" i="1"/>
  <c r="T100" i="1"/>
  <c r="S100" i="1"/>
  <c r="R100" i="1"/>
  <c r="Q100" i="1"/>
  <c r="P100" i="1"/>
  <c r="O100" i="1"/>
  <c r="V97" i="1"/>
  <c r="U97" i="1"/>
  <c r="T97" i="1"/>
  <c r="S97" i="1"/>
  <c r="R97" i="1"/>
  <c r="Q97" i="1"/>
  <c r="P97" i="1"/>
  <c r="O97" i="1"/>
  <c r="V95" i="1"/>
  <c r="U95" i="1"/>
  <c r="T95" i="1"/>
  <c r="S95" i="1"/>
  <c r="R95" i="1"/>
  <c r="Q95" i="1"/>
  <c r="P95" i="1"/>
  <c r="O95" i="1"/>
  <c r="V92" i="1"/>
  <c r="U92" i="1"/>
  <c r="T92" i="1"/>
  <c r="S92" i="1"/>
  <c r="R92" i="1"/>
  <c r="Q92" i="1"/>
  <c r="P92" i="1"/>
  <c r="O92" i="1"/>
  <c r="V90" i="1"/>
  <c r="U90" i="1"/>
  <c r="T90" i="1"/>
  <c r="S90" i="1"/>
  <c r="R90" i="1"/>
  <c r="Q90" i="1"/>
  <c r="P90" i="1"/>
  <c r="O90" i="1"/>
  <c r="V87" i="1"/>
  <c r="U87" i="1"/>
  <c r="T87" i="1"/>
  <c r="S87" i="1"/>
  <c r="R87" i="1"/>
  <c r="Q87" i="1"/>
  <c r="P87" i="1"/>
  <c r="O87" i="1"/>
  <c r="V85" i="1"/>
  <c r="U85" i="1"/>
  <c r="T85" i="1"/>
  <c r="S85" i="1"/>
  <c r="R85" i="1"/>
  <c r="Q85" i="1"/>
  <c r="P85" i="1"/>
  <c r="O85" i="1"/>
  <c r="V82" i="1"/>
  <c r="U82" i="1"/>
  <c r="T82" i="1"/>
  <c r="S82" i="1"/>
  <c r="R82" i="1"/>
  <c r="Q82" i="1"/>
  <c r="P82" i="1"/>
  <c r="O82" i="1"/>
  <c r="V80" i="1"/>
  <c r="U80" i="1"/>
  <c r="T80" i="1"/>
  <c r="S80" i="1"/>
  <c r="R80" i="1"/>
  <c r="Q80" i="1"/>
  <c r="P80" i="1"/>
  <c r="O80" i="1"/>
  <c r="V77" i="1"/>
  <c r="U77" i="1"/>
  <c r="T77" i="1"/>
  <c r="S77" i="1"/>
  <c r="R77" i="1"/>
  <c r="Q77" i="1"/>
  <c r="P77" i="1"/>
  <c r="O77" i="1"/>
  <c r="V75" i="1"/>
  <c r="U75" i="1"/>
  <c r="T75" i="1"/>
  <c r="S75" i="1"/>
  <c r="R75" i="1"/>
  <c r="Q75" i="1"/>
  <c r="P75" i="1"/>
  <c r="O75" i="1"/>
  <c r="V72" i="1"/>
  <c r="U72" i="1"/>
  <c r="T72" i="1"/>
  <c r="S72" i="1"/>
  <c r="R72" i="1"/>
  <c r="Q72" i="1"/>
  <c r="P72" i="1"/>
  <c r="O72" i="1"/>
  <c r="V70" i="1"/>
  <c r="U70" i="1"/>
  <c r="T70" i="1"/>
  <c r="S70" i="1"/>
  <c r="R70" i="1"/>
  <c r="Q70" i="1"/>
  <c r="P70" i="1"/>
  <c r="O70" i="1"/>
  <c r="V67" i="1"/>
  <c r="U67" i="1"/>
  <c r="T67" i="1"/>
  <c r="S67" i="1"/>
  <c r="R67" i="1"/>
  <c r="Q67" i="1"/>
  <c r="P67" i="1"/>
  <c r="O67" i="1"/>
  <c r="V65" i="1"/>
  <c r="U65" i="1"/>
  <c r="T65" i="1"/>
  <c r="S65" i="1"/>
  <c r="R65" i="1"/>
  <c r="Q65" i="1"/>
  <c r="P65" i="1"/>
  <c r="O65" i="1"/>
  <c r="V62" i="1"/>
  <c r="U62" i="1"/>
  <c r="T62" i="1"/>
  <c r="S62" i="1"/>
  <c r="R62" i="1"/>
  <c r="Q62" i="1"/>
  <c r="P62" i="1"/>
  <c r="O62" i="1"/>
  <c r="V60" i="1"/>
  <c r="U60" i="1"/>
  <c r="T60" i="1"/>
  <c r="S60" i="1"/>
  <c r="R60" i="1"/>
  <c r="Q60" i="1"/>
  <c r="P60" i="1"/>
  <c r="O60" i="1"/>
  <c r="V57" i="1"/>
  <c r="U57" i="1"/>
  <c r="T57" i="1"/>
  <c r="S57" i="1"/>
  <c r="R57" i="1"/>
  <c r="Q57" i="1"/>
  <c r="P57" i="1"/>
  <c r="O57" i="1"/>
  <c r="V55" i="1"/>
  <c r="U55" i="1"/>
  <c r="T55" i="1"/>
  <c r="S55" i="1"/>
  <c r="R55" i="1"/>
  <c r="Q55" i="1"/>
  <c r="P55" i="1"/>
  <c r="O55" i="1"/>
  <c r="V52" i="1"/>
  <c r="U52" i="1"/>
  <c r="T52" i="1"/>
  <c r="S52" i="1"/>
  <c r="R52" i="1"/>
  <c r="Q52" i="1"/>
  <c r="P52" i="1"/>
  <c r="O52" i="1"/>
  <c r="V50" i="1"/>
  <c r="U50" i="1"/>
  <c r="T50" i="1"/>
  <c r="S50" i="1"/>
  <c r="R50" i="1"/>
  <c r="Q50" i="1"/>
  <c r="P50" i="1"/>
  <c r="O50" i="1"/>
  <c r="V47" i="1"/>
  <c r="U47" i="1"/>
  <c r="T47" i="1"/>
  <c r="S47" i="1"/>
  <c r="R47" i="1"/>
  <c r="Q47" i="1"/>
  <c r="P47" i="1"/>
  <c r="O47" i="1"/>
  <c r="V45" i="1"/>
  <c r="U45" i="1"/>
  <c r="T45" i="1"/>
  <c r="S45" i="1"/>
  <c r="R45" i="1"/>
  <c r="Q45" i="1"/>
  <c r="P45" i="1"/>
  <c r="O45" i="1"/>
  <c r="V42" i="1"/>
  <c r="U42" i="1"/>
  <c r="T42" i="1"/>
  <c r="S42" i="1"/>
  <c r="R42" i="1"/>
  <c r="Q42" i="1"/>
  <c r="P42" i="1"/>
  <c r="O42" i="1"/>
  <c r="V40" i="1"/>
  <c r="U40" i="1"/>
  <c r="T40" i="1"/>
  <c r="S40" i="1"/>
  <c r="R40" i="1"/>
  <c r="Q40" i="1"/>
  <c r="P40" i="1"/>
  <c r="O40" i="1"/>
  <c r="V37" i="1"/>
  <c r="U37" i="1"/>
  <c r="T37" i="1"/>
  <c r="S37" i="1"/>
  <c r="R37" i="1"/>
  <c r="Q37" i="1"/>
  <c r="P37" i="1"/>
  <c r="O37" i="1"/>
  <c r="V35" i="1"/>
  <c r="U35" i="1"/>
  <c r="T35" i="1"/>
  <c r="S35" i="1"/>
  <c r="R35" i="1"/>
  <c r="Q35" i="1"/>
  <c r="P35" i="1"/>
  <c r="O35" i="1"/>
  <c r="V32" i="1"/>
  <c r="U32" i="1"/>
  <c r="T32" i="1"/>
  <c r="S32" i="1"/>
  <c r="R32" i="1"/>
  <c r="Q32" i="1"/>
  <c r="P32" i="1"/>
  <c r="O32" i="1"/>
  <c r="V30" i="1"/>
  <c r="U30" i="1"/>
  <c r="T30" i="1"/>
  <c r="S30" i="1"/>
  <c r="R30" i="1"/>
  <c r="Q30" i="1"/>
  <c r="P30" i="1"/>
  <c r="O30" i="1"/>
  <c r="P27" i="1"/>
  <c r="Q27" i="1"/>
  <c r="R27" i="1"/>
  <c r="S27" i="1"/>
  <c r="T27" i="1"/>
  <c r="U27" i="1"/>
  <c r="V27" i="1"/>
  <c r="O27" i="1"/>
  <c r="P25" i="1"/>
  <c r="Q25" i="1"/>
  <c r="R25" i="1"/>
  <c r="S25" i="1"/>
  <c r="T25" i="1"/>
  <c r="U25" i="1"/>
  <c r="V25" i="1"/>
  <c r="O25" i="1"/>
  <c r="AA121" i="1" l="1"/>
  <c r="Y121" i="1"/>
  <c r="X121" i="1" s="1"/>
  <c r="Z121" i="1" s="1"/>
  <c r="W118" i="1"/>
  <c r="AA116" i="1"/>
  <c r="W113" i="1"/>
  <c r="Y116" i="1"/>
  <c r="X116" i="1" s="1"/>
  <c r="Z116" i="1" s="1"/>
  <c r="AA111" i="1"/>
  <c r="W108" i="1"/>
  <c r="Y111" i="1"/>
  <c r="X111" i="1" s="1"/>
  <c r="Z111" i="1" s="1"/>
  <c r="AA106" i="1"/>
  <c r="W103" i="1"/>
  <c r="Y106" i="1"/>
  <c r="X106" i="1" s="1"/>
  <c r="Z106" i="1" s="1"/>
  <c r="X101" i="1"/>
  <c r="Z101" i="1" s="1"/>
  <c r="AA96" i="1"/>
  <c r="Y96" i="1"/>
  <c r="W93" i="1"/>
  <c r="W83" i="1"/>
  <c r="Y86" i="1"/>
  <c r="X86" i="1" s="1"/>
  <c r="Z86" i="1" s="1"/>
  <c r="AA86" i="1"/>
  <c r="AA81" i="1"/>
  <c r="Y81" i="1"/>
  <c r="X81" i="1" s="1"/>
  <c r="Z81" i="1" s="1"/>
  <c r="W78" i="1"/>
  <c r="AA76" i="1"/>
  <c r="W73" i="1"/>
  <c r="Y76" i="1"/>
  <c r="X76" i="1" s="1"/>
  <c r="Z76" i="1" s="1"/>
  <c r="AA71" i="1"/>
  <c r="W68" i="1"/>
  <c r="Y71" i="1"/>
  <c r="X71" i="1" s="1"/>
  <c r="Z71" i="1" s="1"/>
  <c r="AA66" i="1"/>
  <c r="W63" i="1"/>
  <c r="Y66" i="1"/>
  <c r="X66" i="1" s="1"/>
  <c r="Z66" i="1" s="1"/>
  <c r="Y61" i="1"/>
  <c r="AA61" i="1"/>
  <c r="W58" i="1"/>
  <c r="AA56" i="1"/>
  <c r="Y56" i="1"/>
  <c r="X56" i="1" s="1"/>
  <c r="Z56" i="1" s="1"/>
  <c r="W53" i="1"/>
  <c r="AA51" i="1"/>
  <c r="Y51" i="1"/>
  <c r="W48" i="1"/>
  <c r="AA46" i="1"/>
  <c r="Y46" i="1"/>
  <c r="W43" i="1"/>
  <c r="AA41" i="1"/>
  <c r="Y41" i="1"/>
  <c r="X41" i="1" s="1"/>
  <c r="Z41" i="1" s="1"/>
  <c r="W38" i="1"/>
  <c r="AA36" i="1"/>
  <c r="W33" i="1"/>
  <c r="Y36" i="1"/>
  <c r="X36" i="1" s="1"/>
  <c r="Z36" i="1" s="1"/>
  <c r="AA31" i="1"/>
  <c r="Y31" i="1"/>
  <c r="X31" i="1" s="1"/>
  <c r="Z31" i="1" s="1"/>
  <c r="W28" i="1"/>
  <c r="X96" i="1" l="1"/>
  <c r="Z96" i="1" s="1"/>
  <c r="X61" i="1"/>
  <c r="Z61" i="1" s="1"/>
  <c r="X51" i="1"/>
  <c r="Z51" i="1" s="1"/>
  <c r="X46" i="1"/>
  <c r="Z46" i="1" s="1"/>
</calcChain>
</file>

<file path=xl/sharedStrings.xml><?xml version="1.0" encoding="utf-8"?>
<sst xmlns="http://schemas.openxmlformats.org/spreadsheetml/2006/main" count="165" uniqueCount="62">
  <si>
    <t>MTK tone analysis</t>
  </si>
  <si>
    <t>No.</t>
  </si>
  <si>
    <t>1. 調整參數，觀察tone curve變化
2. No.輸入圖片編號，可以畫出參數所在區間</t>
  </si>
  <si>
    <t>LCE basic</t>
  </si>
  <si>
    <t>BV</t>
  </si>
  <si>
    <t>Dstrength base ratio</t>
  </si>
  <si>
    <t>Bstrength base ratio</t>
  </si>
  <si>
    <t>LCE curve</t>
  </si>
  <si>
    <t>type</t>
  </si>
  <si>
    <t>Prob</t>
  </si>
  <si>
    <t>target</t>
  </si>
  <si>
    <t>LV</t>
  </si>
  <si>
    <t>DR</t>
  </si>
  <si>
    <t>strengthLevel</t>
  </si>
  <si>
    <t>chart</t>
  </si>
  <si>
    <t>Scene
type</t>
  </si>
  <si>
    <t>SW_LCE_LVIdx_H</t>
  </si>
  <si>
    <t>SW_LCE_DStrengthLevel</t>
  </si>
  <si>
    <t>SW_LCE_BStrengthLevel</t>
  </si>
  <si>
    <t>SW_LCE_FinalDStrength</t>
  </si>
  <si>
    <t>SW_LCE_FinalBStrength</t>
  </si>
  <si>
    <t>Luma</t>
  </si>
  <si>
    <t>Flat</t>
  </si>
  <si>
    <t>LumaFlat</t>
  </si>
  <si>
    <t>finalTarget</t>
  </si>
  <si>
    <t>LVidx_L</t>
  </si>
  <si>
    <t>LVidx_H</t>
  </si>
  <si>
    <t>DRidx_L</t>
  </si>
  <si>
    <t>DRidx_H</t>
  </si>
  <si>
    <t>Dstr</t>
  </si>
  <si>
    <t>Bstr</t>
  </si>
  <si>
    <t>finalDstr</t>
  </si>
  <si>
    <t>finalBstr</t>
  </si>
  <si>
    <t>P</t>
    <phoneticPr fontId="4" type="noConversion"/>
  </si>
  <si>
    <t>O</t>
    <phoneticPr fontId="4" type="noConversion"/>
  </si>
  <si>
    <t>Gain</t>
    <phoneticPr fontId="4" type="noConversion"/>
  </si>
  <si>
    <t>Gain'</t>
    <phoneticPr fontId="4" type="noConversion"/>
  </si>
  <si>
    <t>Sim</t>
    <phoneticPr fontId="4" type="noConversion"/>
  </si>
  <si>
    <t>Num</t>
    <phoneticPr fontId="4" type="noConversion"/>
  </si>
  <si>
    <t>SW_LCE_LumaProb</t>
    <phoneticPr fontId="4" type="noConversion"/>
  </si>
  <si>
    <t>SW_LCE_FlatProb</t>
    <phoneticPr fontId="4" type="noConversion"/>
  </si>
  <si>
    <t>SW_LCE_LumaFlatProb</t>
    <phoneticPr fontId="4" type="noConversion"/>
  </si>
  <si>
    <t>SW_LCE_LVProb</t>
    <phoneticPr fontId="4" type="noConversion"/>
  </si>
  <si>
    <t>SW_LCE_LVTarget</t>
    <phoneticPr fontId="4" type="noConversion"/>
  </si>
  <si>
    <t>SW_LCE_FinalTarget</t>
    <phoneticPr fontId="4" type="noConversion"/>
  </si>
  <si>
    <t>SW_LCE_LV</t>
    <phoneticPr fontId="4" type="noConversion"/>
  </si>
  <si>
    <t>SW_LCE_LVIdx_L</t>
    <phoneticPr fontId="4" type="noConversion"/>
  </si>
  <si>
    <t>SW_LCE_CurrDR</t>
    <phoneticPr fontId="4" type="noConversion"/>
  </si>
  <si>
    <t>SW_LCE_DRIdx_L</t>
    <phoneticPr fontId="4" type="noConversion"/>
  </si>
  <si>
    <t>SW_LCE_DRIdx_H</t>
    <phoneticPr fontId="4" type="noConversion"/>
  </si>
  <si>
    <t>Reference &amp; device image</t>
    <phoneticPr fontId="4" type="noConversion"/>
  </si>
  <si>
    <t>reference</t>
    <phoneticPr fontId="4" type="noConversion"/>
  </si>
  <si>
    <t>device</t>
    <phoneticPr fontId="4" type="noConversion"/>
  </si>
  <si>
    <t>LV</t>
    <phoneticPr fontId="4" type="noConversion"/>
  </si>
  <si>
    <t>SW_LCE_LumaTarget</t>
    <phoneticPr fontId="4" type="noConversion"/>
  </si>
  <si>
    <t>SW_LCE_FlatTarget</t>
    <phoneticPr fontId="4" type="noConversion"/>
  </si>
  <si>
    <t>SW_LCE_LumaFlatTarget</t>
    <phoneticPr fontId="4" type="noConversion"/>
  </si>
  <si>
    <t>LVTarget</t>
    <phoneticPr fontId="4" type="noConversion"/>
  </si>
  <si>
    <t>MaxLceGain</t>
    <phoneticPr fontId="4" type="noConversion"/>
  </si>
  <si>
    <t>MaxFinalTarget</t>
    <phoneticPr fontId="4" type="noConversion"/>
  </si>
  <si>
    <t>DR / LV</t>
    <phoneticPr fontId="4" type="noConversion"/>
  </si>
  <si>
    <t>crtl + o: zero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</si>
</sst>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%"/>
  </numFmts>
  <fonts count="19" x14ac:knownFonts="1"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Calibri"/>
      <family val="2"/>
    </font>
    <font>
      <b/>
      <sz val="11"/>
      <name val="新細明體"/>
      <family val="1"/>
      <charset val="136"/>
      <scheme val="minor"/>
    </font>
    <font>
      <b/>
      <sz val="11.5"/>
      <color theme="1"/>
      <name val="Calibri"/>
      <family val="2"/>
    </font>
    <font>
      <sz val="10"/>
      <color theme="1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theme="0" tint="-0.14999847407452621"/>
      <name val="新細明體"/>
      <family val="2"/>
      <charset val="136"/>
      <scheme val="minor"/>
    </font>
    <font>
      <sz val="8"/>
      <color theme="1"/>
      <name val="新細明體"/>
      <family val="1"/>
      <charset val="136"/>
      <scheme val="minor"/>
    </font>
    <font>
      <sz val="9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0" xfId="0" applyFont="1"/>
    <xf numFmtId="0" fontId="0" fillId="2" borderId="1" xfId="0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7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10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4" xfId="0" applyBorder="1"/>
    <xf numFmtId="0" fontId="10" fillId="0" borderId="1" xfId="0" applyFont="1" applyBorder="1" applyAlignment="1">
      <alignment horizontal="center" vertical="center" wrapText="1"/>
    </xf>
    <xf numFmtId="0" fontId="0" fillId="0" borderId="3" xfId="0" applyBorder="1"/>
    <xf numFmtId="0" fontId="6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13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0" fontId="0" fillId="0" borderId="14" xfId="0" applyBorder="1"/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0" borderId="11" xfId="0" applyBorder="1"/>
    <xf numFmtId="0" fontId="0" fillId="2" borderId="1" xfId="0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0" borderId="4" xfId="0" applyFont="1" applyBorder="1"/>
    <xf numFmtId="0" fontId="17" fillId="2" borderId="12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76" fontId="7" fillId="3" borderId="0" xfId="0" applyNumberFormat="1" applyFont="1" applyFill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</cellXfs>
  <cellStyles count="2">
    <cellStyle name="一般" xfId="0" builtinId="0"/>
    <cellStyle name="一般 2" xfId="1" xr:uid="{00000000-0005-0000-0000-000001000000}"/>
  </cellStyles>
  <dxfs count="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7-4E5D-96D2-95FAC61E2CB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'0.mtkTONEanalysis'!$O$118:$V$118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'0.mtkTONEanalysis'!$O$119:$V$119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77-4C84-8027-33E65762CEAC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'0.mtkTONEanalysis'!$O$118:$V$118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'0.mtkTONEanalysis'!$O$121:$V$121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77-4C84-8027-33E65762C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E1-4020-BD4B-B0644A7159B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'0.mtkTONEanalysis'!$O$113:$V$113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'0.mtkTONEanalysis'!$O$114:$V$114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B-4179-AE27-92D5786AD80B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'0.mtkTONEanalysis'!$O$113:$V$113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'0.mtkTONEanalysis'!$O$116:$V$116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DB-4179-AE27-92D5786AD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5D-4791-ADEE-DBAA92D09DF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'0.mtkTONEanalysis'!$O$108:$V$108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'0.mtkTONEanalysis'!$O$109:$V$109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4-4CFB-906A-ED5C5F72309B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'0.mtkTONEanalysis'!$O$108:$V$108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'0.mtkTONEanalysis'!$O$111:$V$111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4-4CFB-906A-ED5C5F723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5-40F9-BC41-463DD6AEA88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'0.mtkTONEanalysis'!$O$103:$V$103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'0.mtkTONEanalysis'!$O$104:$V$104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E-4D74-9155-6841B2C8A08F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'0.mtkTONEanalysis'!$O$103:$V$103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'0.mtkTONEanalysis'!$O$106:$V$106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6E-4D74-9155-6841B2C8A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6-4E47-A63B-E90C32FA7A2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'0.mtkTONEanalysis'!$O$98:$V$98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'0.mtkTONEanalysis'!$O$99:$V$99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8-4AA8-A864-E217014EEFDC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'0.mtkTONEanalysis'!$O$98:$V$98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'0.mtkTONEanalysis'!$O$101:$V$101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48-4AA8-A864-E217014EE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B-4CB7-B718-4CDB31234D9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'0.mtkTONEanalysis'!$O$93:$V$93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'0.mtkTONEanalysis'!$O$94:$V$94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07-4C49-B11E-6DADCD9BAD49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'0.mtkTONEanalysis'!$O$93:$V$93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'0.mtkTONEanalysis'!$O$96:$V$96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07-4C49-B11E-6DADCD9BA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58-47A4-82F6-A520A32106F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'0.mtkTONEanalysis'!$O$88:$V$88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'0.mtkTONEanalysis'!$O$89:$V$89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0F-4DF8-B37C-884B399F5411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'0.mtkTONEanalysis'!$O$88:$V$88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'0.mtkTONEanalysis'!$O$91:$V$91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0F-4DF8-B37C-884B399F5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A1-4E80-93DE-06D54D4F035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'0.mtkTONEanalysis'!$O$83:$V$83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'0.mtkTONEanalysis'!$O$84:$V$84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B-48E3-8C7D-2B27ADEDA69B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'0.mtkTONEanalysis'!$O$83:$V$83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'0.mtkTONEanalysis'!$O$86:$V$86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3B-48E3-8C7D-2B27ADEDA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A2-464A-81CF-2622F51A797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'0.mtkTONEanalysis'!$O$78:$V$78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'0.mtkTONEanalysis'!$O$79:$V$79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E-4B0A-925C-BA7B31114355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'0.mtkTONEanalysis'!$O$78:$V$78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'0.mtkTONEanalysis'!$O$81:$V$81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2E-4B0A-925C-BA7B31114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F-4C00-BC25-60D84E530B5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'0.mtkTONEanalysis'!$O$73:$V$73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'0.mtkTONEanalysis'!$O$74:$V$74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3-4A98-AF04-99179B8674E0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'0.mtkTONEanalysis'!$O$73:$V$73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'0.mtkTONEanalysis'!$O$76:$V$76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03-4A98-AF04-99179B867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5C-4A63-8835-6EC2D659729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'0.mtkTONEanalysis'!$O$68:$V$68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'0.mtkTONEanalysis'!$O$69:$V$69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6-413D-8363-4C9BB132C65A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'0.mtkTONEanalysis'!$O$68:$V$68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'0.mtkTONEanalysis'!$O$71:$V$71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6-413D-8363-4C9BB132C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A-442F-B3C0-98CDF7D5887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'0.mtkTONEanalysis'!$O$63:$V$63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'0.mtkTONEanalysis'!$O$64:$V$64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8-47C4-AF38-F2B3D55EC0F3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'0.mtkTONEanalysis'!$O$63:$V$63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'0.mtkTONEanalysis'!$O$66:$V$66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8-47C4-AF38-F2B3D55E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4B-4018-AA20-660441D8D1F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'0.mtkTONEanalysis'!$O$58:$V$58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'0.mtkTONEanalysis'!$O$59:$V$59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6C-4E66-8372-8947BFD7C0B5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'0.mtkTONEanalysis'!$O$58:$V$58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'0.mtkTONEanalysis'!$O$61:$V$61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6C-4E66-8372-8947BFD7C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E2-4980-9712-4624CF173FB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'0.mtkTONEanalysis'!$O$53:$V$53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'0.mtkTONEanalysis'!$O$54:$V$54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1F-495B-88C2-6F536AB52E16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'0.mtkTONEanalysis'!$O$53:$V$53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'0.mtkTONEanalysis'!$O$56:$V$56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1F-495B-88C2-6F536AB52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E-4B67-9E48-BA000D3B78FB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'0.mtkTONEanalysis'!$O$48:$V$48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'0.mtkTONEanalysis'!$O$49:$V$49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C-45BD-AE7C-8BEFC43B411A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'0.mtkTONEanalysis'!$O$48:$V$48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'0.mtkTONEanalysis'!$O$51:$V$51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C-45BD-AE7C-8BEFC43B4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88-4375-8998-513903C534B8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'0.mtkTONEanalysis'!$O$43:$V$43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'0.mtkTONEanalysis'!$O$44:$V$44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B3-48EA-AC84-1DE5B92F9C47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'0.mtkTONEanalysis'!$O$43:$V$43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'0.mtkTONEanalysis'!$O$46:$V$46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B3-48EA-AC84-1DE5B92F9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5875" cap="rnd">
                <a:solidFill>
                  <a:schemeClr val="accent3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5D-4B6F-9DE7-4E6F1B8D7F95}"/>
              </c:ext>
            </c:extLst>
          </c:dPt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D-4B6F-9DE7-4E6F1B8D7F95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'0.mtkTONEanalysis'!$O$38:$V$38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'0.mtkTONEanalysis'!$O$39:$V$39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D-49FB-B5B1-40DB3A00AC58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'0.mtkTONEanalysis'!$O$38:$V$38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'0.mtkTONEanalysis'!$O$41:$V$41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BD-49FB-B5B1-40DB3A00A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5-454D-BD01-3D395B9896A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'0.mtkTONEanalysis'!$O$33:$V$33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'0.mtkTONEanalysis'!$O$34:$V$34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9B-4F3F-9AC8-5A5F5E7A86DF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'0.mtkTONEanalysis'!$O$33:$V$33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'0.mtkTONEanalysis'!$O$36:$V$36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9B-4F3F-9AC8-5A5F5E7A8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862-8966-644D5042E349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'0.mtkTONEanalysis'!$O$28:$V$28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'0.mtkTONEanalysis'!$O$29:$V$29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1-4404-84D1-7B1475D48DB4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'0.mtkTONEanalysis'!$O$28:$V$28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'0.mtkTONEanalysis'!$O$31:$V$31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31-4404-84D1-7B1475D4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C5-4ACE-AF6A-BB7F5207813F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'0.mtkTONEanalysis'!$O$23:$V$23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'0.mtkTONEanalysis'!$O$24:$V$24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C7-42E6-8FBD-C0B3BFFD0DF8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'0.mtkTONEanalysis'!$O$23:$V$23</c:f>
              <c:numCache>
                <c:formatCode>General</c:formatCode>
                <c:ptCount val="8"/>
              </c:numCache>
            </c:numRef>
          </c:xVal>
          <c:yVal>
            <c:numRef>
              <c:f>'0.mtkTONEanalysis'!$O$26:$V$26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C7-42E6-8FBD-C0B3BFFD0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xVal>
          <c:yVal>
            <c:numRef>
              <c:f>'0.mtkTONEanalysis'!$U$19:$V$19</c:f>
              <c:numCache>
                <c:formatCode>General</c:formatCode>
                <c:ptCount val="2"/>
                <c:pt idx="0">
                  <c:v>0</c:v>
                </c:pt>
                <c:pt idx="1">
                  <c:v>3699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32-4DF3-B461-1D1A4A7A34A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'0.mtkTONEanalysis'!$K$18:$R$18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'0.mtkTONEanalysis'!$K$19:$R$19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32-4DF3-B461-1D1A4A7A34AE}"/>
            </c:ext>
          </c:extLst>
        </c:ser>
        <c:ser>
          <c:idx val="1"/>
          <c:order val="2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'0.mtkTONEanalysis'!$K$18:$R$18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'0.mtkTONEanalysis'!$U$18:$AB$18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32-4DF3-B461-1D1A4A7A3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56064"/>
        <c:axId val="553615600"/>
      </c:scatterChart>
      <c:valAx>
        <c:axId val="107856064"/>
        <c:scaling>
          <c:orientation val="minMax"/>
          <c:max val="369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53615600"/>
        <c:crosses val="autoZero"/>
        <c:crossBetween val="midCat"/>
      </c:valAx>
      <c:valAx>
        <c:axId val="553615600"/>
        <c:scaling>
          <c:orientation val="minMax"/>
          <c:max val="36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8560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117</xdr:row>
      <xdr:rowOff>0</xdr:rowOff>
    </xdr:from>
    <xdr:to>
      <xdr:col>12</xdr:col>
      <xdr:colOff>713250</xdr:colOff>
      <xdr:row>121</xdr:row>
      <xdr:rowOff>314324</xdr:rowOff>
    </xdr:to>
    <xdr:graphicFrame macro="">
      <xdr:nvGraphicFramePr>
        <xdr:cNvPr id="51" name="圖表 50">
          <a:extLst>
            <a:ext uri="{FF2B5EF4-FFF2-40B4-BE49-F238E27FC236}">
              <a16:creationId xmlns:a16="http://schemas.microsoft.com/office/drawing/2014/main" id="{D81F8E96-0002-4376-816E-992AACE2E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112</xdr:row>
      <xdr:rowOff>0</xdr:rowOff>
    </xdr:from>
    <xdr:to>
      <xdr:col>12</xdr:col>
      <xdr:colOff>713250</xdr:colOff>
      <xdr:row>116</xdr:row>
      <xdr:rowOff>314324</xdr:rowOff>
    </xdr:to>
    <xdr:graphicFrame macro="">
      <xdr:nvGraphicFramePr>
        <xdr:cNvPr id="52" name="圖表 51">
          <a:extLst>
            <a:ext uri="{FF2B5EF4-FFF2-40B4-BE49-F238E27FC236}">
              <a16:creationId xmlns:a16="http://schemas.microsoft.com/office/drawing/2014/main" id="{CB60BF78-5C7D-4381-9F8C-BBC64A7FA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107</xdr:row>
      <xdr:rowOff>0</xdr:rowOff>
    </xdr:from>
    <xdr:to>
      <xdr:col>12</xdr:col>
      <xdr:colOff>713250</xdr:colOff>
      <xdr:row>111</xdr:row>
      <xdr:rowOff>314324</xdr:rowOff>
    </xdr:to>
    <xdr:graphicFrame macro="">
      <xdr:nvGraphicFramePr>
        <xdr:cNvPr id="53" name="圖表 52">
          <a:extLst>
            <a:ext uri="{FF2B5EF4-FFF2-40B4-BE49-F238E27FC236}">
              <a16:creationId xmlns:a16="http://schemas.microsoft.com/office/drawing/2014/main" id="{B5E60C4C-3004-4817-B430-BB4DEAF13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102</xdr:row>
      <xdr:rowOff>0</xdr:rowOff>
    </xdr:from>
    <xdr:to>
      <xdr:col>12</xdr:col>
      <xdr:colOff>713250</xdr:colOff>
      <xdr:row>106</xdr:row>
      <xdr:rowOff>314324</xdr:rowOff>
    </xdr:to>
    <xdr:graphicFrame macro="">
      <xdr:nvGraphicFramePr>
        <xdr:cNvPr id="54" name="圖表 53">
          <a:extLst>
            <a:ext uri="{FF2B5EF4-FFF2-40B4-BE49-F238E27FC236}">
              <a16:creationId xmlns:a16="http://schemas.microsoft.com/office/drawing/2014/main" id="{BFB7EBD7-062A-457B-ADAA-FAC034009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97</xdr:row>
      <xdr:rowOff>0</xdr:rowOff>
    </xdr:from>
    <xdr:to>
      <xdr:col>12</xdr:col>
      <xdr:colOff>713250</xdr:colOff>
      <xdr:row>101</xdr:row>
      <xdr:rowOff>314324</xdr:rowOff>
    </xdr:to>
    <xdr:graphicFrame macro="">
      <xdr:nvGraphicFramePr>
        <xdr:cNvPr id="55" name="圖表 54">
          <a:extLst>
            <a:ext uri="{FF2B5EF4-FFF2-40B4-BE49-F238E27FC236}">
              <a16:creationId xmlns:a16="http://schemas.microsoft.com/office/drawing/2014/main" id="{0D40FE1E-48FB-4292-B62E-1D7238D1A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92</xdr:row>
      <xdr:rowOff>0</xdr:rowOff>
    </xdr:from>
    <xdr:to>
      <xdr:col>12</xdr:col>
      <xdr:colOff>713250</xdr:colOff>
      <xdr:row>96</xdr:row>
      <xdr:rowOff>314324</xdr:rowOff>
    </xdr:to>
    <xdr:graphicFrame macro="">
      <xdr:nvGraphicFramePr>
        <xdr:cNvPr id="56" name="圖表 55">
          <a:extLst>
            <a:ext uri="{FF2B5EF4-FFF2-40B4-BE49-F238E27FC236}">
              <a16:creationId xmlns:a16="http://schemas.microsoft.com/office/drawing/2014/main" id="{0B76E56A-6141-403E-BB0B-5561982DB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87</xdr:row>
      <xdr:rowOff>0</xdr:rowOff>
    </xdr:from>
    <xdr:to>
      <xdr:col>12</xdr:col>
      <xdr:colOff>713250</xdr:colOff>
      <xdr:row>91</xdr:row>
      <xdr:rowOff>314324</xdr:rowOff>
    </xdr:to>
    <xdr:graphicFrame macro="">
      <xdr:nvGraphicFramePr>
        <xdr:cNvPr id="57" name="圖表 56">
          <a:extLst>
            <a:ext uri="{FF2B5EF4-FFF2-40B4-BE49-F238E27FC236}">
              <a16:creationId xmlns:a16="http://schemas.microsoft.com/office/drawing/2014/main" id="{A2CC091E-6645-48BA-86D6-A25875263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82</xdr:row>
      <xdr:rowOff>0</xdr:rowOff>
    </xdr:from>
    <xdr:to>
      <xdr:col>12</xdr:col>
      <xdr:colOff>713250</xdr:colOff>
      <xdr:row>86</xdr:row>
      <xdr:rowOff>314324</xdr:rowOff>
    </xdr:to>
    <xdr:graphicFrame macro="">
      <xdr:nvGraphicFramePr>
        <xdr:cNvPr id="58" name="圖表 57">
          <a:extLst>
            <a:ext uri="{FF2B5EF4-FFF2-40B4-BE49-F238E27FC236}">
              <a16:creationId xmlns:a16="http://schemas.microsoft.com/office/drawing/2014/main" id="{CB112B21-CF9A-410F-BBD9-119F06BDD4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77</xdr:row>
      <xdr:rowOff>0</xdr:rowOff>
    </xdr:from>
    <xdr:to>
      <xdr:col>12</xdr:col>
      <xdr:colOff>713250</xdr:colOff>
      <xdr:row>81</xdr:row>
      <xdr:rowOff>314324</xdr:rowOff>
    </xdr:to>
    <xdr:graphicFrame macro="">
      <xdr:nvGraphicFramePr>
        <xdr:cNvPr id="59" name="圖表 58">
          <a:extLst>
            <a:ext uri="{FF2B5EF4-FFF2-40B4-BE49-F238E27FC236}">
              <a16:creationId xmlns:a16="http://schemas.microsoft.com/office/drawing/2014/main" id="{FD30889B-BBCE-472A-951B-A189588A2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72</xdr:row>
      <xdr:rowOff>0</xdr:rowOff>
    </xdr:from>
    <xdr:to>
      <xdr:col>12</xdr:col>
      <xdr:colOff>713250</xdr:colOff>
      <xdr:row>76</xdr:row>
      <xdr:rowOff>314324</xdr:rowOff>
    </xdr:to>
    <xdr:graphicFrame macro="">
      <xdr:nvGraphicFramePr>
        <xdr:cNvPr id="60" name="圖表 59">
          <a:extLst>
            <a:ext uri="{FF2B5EF4-FFF2-40B4-BE49-F238E27FC236}">
              <a16:creationId xmlns:a16="http://schemas.microsoft.com/office/drawing/2014/main" id="{8383204A-A8DE-42AB-9969-666898FF9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67</xdr:row>
      <xdr:rowOff>0</xdr:rowOff>
    </xdr:from>
    <xdr:to>
      <xdr:col>12</xdr:col>
      <xdr:colOff>713250</xdr:colOff>
      <xdr:row>71</xdr:row>
      <xdr:rowOff>314324</xdr:rowOff>
    </xdr:to>
    <xdr:graphicFrame macro="">
      <xdr:nvGraphicFramePr>
        <xdr:cNvPr id="61" name="圖表 60">
          <a:extLst>
            <a:ext uri="{FF2B5EF4-FFF2-40B4-BE49-F238E27FC236}">
              <a16:creationId xmlns:a16="http://schemas.microsoft.com/office/drawing/2014/main" id="{E2CCA615-489E-40A0-84B4-1E896EF4F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0</xdr:colOff>
      <xdr:row>62</xdr:row>
      <xdr:rowOff>0</xdr:rowOff>
    </xdr:from>
    <xdr:to>
      <xdr:col>12</xdr:col>
      <xdr:colOff>713250</xdr:colOff>
      <xdr:row>66</xdr:row>
      <xdr:rowOff>314324</xdr:rowOff>
    </xdr:to>
    <xdr:graphicFrame macro="">
      <xdr:nvGraphicFramePr>
        <xdr:cNvPr id="62" name="圖表 61">
          <a:extLst>
            <a:ext uri="{FF2B5EF4-FFF2-40B4-BE49-F238E27FC236}">
              <a16:creationId xmlns:a16="http://schemas.microsoft.com/office/drawing/2014/main" id="{E3A870A7-AFE3-4C26-8EF2-D42C114A4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12</xdr:col>
      <xdr:colOff>713250</xdr:colOff>
      <xdr:row>61</xdr:row>
      <xdr:rowOff>314324</xdr:rowOff>
    </xdr:to>
    <xdr:graphicFrame macro="">
      <xdr:nvGraphicFramePr>
        <xdr:cNvPr id="63" name="圖表 62">
          <a:extLst>
            <a:ext uri="{FF2B5EF4-FFF2-40B4-BE49-F238E27FC236}">
              <a16:creationId xmlns:a16="http://schemas.microsoft.com/office/drawing/2014/main" id="{D65C1F21-E183-47A6-B3DA-43FFAEAB3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12</xdr:col>
      <xdr:colOff>713250</xdr:colOff>
      <xdr:row>56</xdr:row>
      <xdr:rowOff>314324</xdr:rowOff>
    </xdr:to>
    <xdr:graphicFrame macro="">
      <xdr:nvGraphicFramePr>
        <xdr:cNvPr id="64" name="圖表 63">
          <a:extLst>
            <a:ext uri="{FF2B5EF4-FFF2-40B4-BE49-F238E27FC236}">
              <a16:creationId xmlns:a16="http://schemas.microsoft.com/office/drawing/2014/main" id="{1D0C66F7-ADBB-400B-AAF8-97364CE5D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0</xdr:colOff>
      <xdr:row>47</xdr:row>
      <xdr:rowOff>0</xdr:rowOff>
    </xdr:from>
    <xdr:to>
      <xdr:col>12</xdr:col>
      <xdr:colOff>713250</xdr:colOff>
      <xdr:row>51</xdr:row>
      <xdr:rowOff>314324</xdr:rowOff>
    </xdr:to>
    <xdr:graphicFrame macro="">
      <xdr:nvGraphicFramePr>
        <xdr:cNvPr id="65" name="圖表 64">
          <a:extLst>
            <a:ext uri="{FF2B5EF4-FFF2-40B4-BE49-F238E27FC236}">
              <a16:creationId xmlns:a16="http://schemas.microsoft.com/office/drawing/2014/main" id="{48F04684-7EDC-44C0-A96C-0C8C9075C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0</xdr:colOff>
      <xdr:row>42</xdr:row>
      <xdr:rowOff>0</xdr:rowOff>
    </xdr:from>
    <xdr:to>
      <xdr:col>12</xdr:col>
      <xdr:colOff>713250</xdr:colOff>
      <xdr:row>46</xdr:row>
      <xdr:rowOff>314324</xdr:rowOff>
    </xdr:to>
    <xdr:graphicFrame macro="">
      <xdr:nvGraphicFramePr>
        <xdr:cNvPr id="66" name="圖表 65">
          <a:extLst>
            <a:ext uri="{FF2B5EF4-FFF2-40B4-BE49-F238E27FC236}">
              <a16:creationId xmlns:a16="http://schemas.microsoft.com/office/drawing/2014/main" id="{8818A829-A95F-4892-87F3-C044144D1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37</xdr:row>
      <xdr:rowOff>0</xdr:rowOff>
    </xdr:from>
    <xdr:to>
      <xdr:col>12</xdr:col>
      <xdr:colOff>713250</xdr:colOff>
      <xdr:row>41</xdr:row>
      <xdr:rowOff>314324</xdr:rowOff>
    </xdr:to>
    <xdr:graphicFrame macro="">
      <xdr:nvGraphicFramePr>
        <xdr:cNvPr id="67" name="圖表 66">
          <a:extLst>
            <a:ext uri="{FF2B5EF4-FFF2-40B4-BE49-F238E27FC236}">
              <a16:creationId xmlns:a16="http://schemas.microsoft.com/office/drawing/2014/main" id="{4E06937E-98FA-4CC7-887F-84E7EDF3C3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12</xdr:col>
      <xdr:colOff>713250</xdr:colOff>
      <xdr:row>36</xdr:row>
      <xdr:rowOff>314324</xdr:rowOff>
    </xdr:to>
    <xdr:graphicFrame macro="">
      <xdr:nvGraphicFramePr>
        <xdr:cNvPr id="68" name="圖表 67">
          <a:extLst>
            <a:ext uri="{FF2B5EF4-FFF2-40B4-BE49-F238E27FC236}">
              <a16:creationId xmlns:a16="http://schemas.microsoft.com/office/drawing/2014/main" id="{F10B97F2-6A92-401B-8AEC-D2DB42E17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0</xdr:colOff>
      <xdr:row>27</xdr:row>
      <xdr:rowOff>0</xdr:rowOff>
    </xdr:from>
    <xdr:to>
      <xdr:col>12</xdr:col>
      <xdr:colOff>713250</xdr:colOff>
      <xdr:row>31</xdr:row>
      <xdr:rowOff>314324</xdr:rowOff>
    </xdr:to>
    <xdr:graphicFrame macro="">
      <xdr:nvGraphicFramePr>
        <xdr:cNvPr id="69" name="圖表 68">
          <a:extLst>
            <a:ext uri="{FF2B5EF4-FFF2-40B4-BE49-F238E27FC236}">
              <a16:creationId xmlns:a16="http://schemas.microsoft.com/office/drawing/2014/main" id="{428DB1E8-5F5A-48A1-B985-408392CB7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0</xdr:colOff>
      <xdr:row>22</xdr:row>
      <xdr:rowOff>0</xdr:rowOff>
    </xdr:from>
    <xdr:to>
      <xdr:col>12</xdr:col>
      <xdr:colOff>713250</xdr:colOff>
      <xdr:row>26</xdr:row>
      <xdr:rowOff>314324</xdr:rowOff>
    </xdr:to>
    <xdr:graphicFrame macro="">
      <xdr:nvGraphicFramePr>
        <xdr:cNvPr id="70" name="圖表 69">
          <a:extLst>
            <a:ext uri="{FF2B5EF4-FFF2-40B4-BE49-F238E27FC236}">
              <a16:creationId xmlns:a16="http://schemas.microsoft.com/office/drawing/2014/main" id="{7E25D3FA-89DE-4E45-8BE6-4384FDF4A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15</xdr:col>
      <xdr:colOff>633281</xdr:colOff>
      <xdr:row>17</xdr:row>
      <xdr:rowOff>-1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73982F0A-2302-4A55-8E00-4CCD5EDE1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CD122"/>
  <sheetViews>
    <sheetView tabSelected="1" zoomScale="80" zoomScaleNormal="80" workbookViewId="0">
      <pane xSplit="9" ySplit="22" topLeftCell="J23" activePane="bottomRight" state="frozen"/>
      <selection pane="topRight" activeCell="J1" sqref="J1"/>
      <selection pane="bottomLeft" activeCell="A23" sqref="A23"/>
      <selection pane="bottomRight" activeCell="B2" sqref="B2:G5"/>
    </sheetView>
  </sheetViews>
  <sheetFormatPr defaultRowHeight="15.75" x14ac:dyDescent="0.25"/>
  <cols>
    <col min="1" max="1" width="3.85546875" customWidth="1"/>
    <col min="2" max="2" width="4.28515625" style="2" bestFit="1" customWidth="1"/>
    <col min="3" max="8" width="10.7109375" style="2" customWidth="1"/>
    <col min="9" max="10" width="3.85546875" style="2" customWidth="1"/>
    <col min="11" max="14" width="10.7109375" style="2" customWidth="1"/>
    <col min="15" max="22" width="10.7109375" customWidth="1"/>
    <col min="23" max="38" width="10.7109375" style="2" customWidth="1"/>
    <col min="39" max="42" width="10.7109375" customWidth="1"/>
    <col min="43" max="43" width="3.85546875" customWidth="1"/>
    <col min="44" max="51" width="10.28515625" bestFit="1" customWidth="1"/>
    <col min="52" max="53" width="10.28515625" customWidth="1"/>
  </cols>
  <sheetData>
    <row r="2" spans="2:82" ht="15.75" customHeight="1" x14ac:dyDescent="0.25">
      <c r="B2" s="57" t="s">
        <v>0</v>
      </c>
      <c r="C2" s="58"/>
      <c r="D2" s="58"/>
      <c r="E2" s="58"/>
      <c r="F2" s="58"/>
      <c r="G2" s="59"/>
      <c r="H2" s="50" t="s">
        <v>1</v>
      </c>
      <c r="I2" s="26" t="e">
        <f>VLOOKUP(H4,B20:AY122,33)</f>
        <v>#N/A</v>
      </c>
      <c r="J2" s="26" t="e">
        <f>VLOOKUP(H4,B20:AY122,34)</f>
        <v>#N/A</v>
      </c>
      <c r="Q2" s="16" t="s">
        <v>53</v>
      </c>
      <c r="R2" s="22">
        <v>0</v>
      </c>
      <c r="S2" s="22">
        <v>1</v>
      </c>
      <c r="T2" s="22">
        <v>2</v>
      </c>
      <c r="U2" s="22">
        <v>3</v>
      </c>
      <c r="V2" s="22">
        <v>4</v>
      </c>
      <c r="W2" s="22">
        <v>5</v>
      </c>
      <c r="X2" s="22">
        <v>6</v>
      </c>
      <c r="Y2" s="22">
        <v>7</v>
      </c>
      <c r="Z2" s="22">
        <v>8</v>
      </c>
      <c r="AA2" s="22">
        <v>9</v>
      </c>
      <c r="AB2" s="22">
        <v>10</v>
      </c>
      <c r="AC2" s="22">
        <v>11</v>
      </c>
      <c r="AD2" s="22">
        <v>12</v>
      </c>
      <c r="AE2" s="22">
        <v>13</v>
      </c>
      <c r="AF2" s="22">
        <v>14</v>
      </c>
      <c r="AG2" s="22">
        <v>15</v>
      </c>
      <c r="AH2" s="22">
        <v>16</v>
      </c>
      <c r="AI2" s="16">
        <v>17</v>
      </c>
      <c r="AJ2" s="16">
        <v>18</v>
      </c>
    </row>
    <row r="3" spans="2:82" ht="15.75" customHeight="1" x14ac:dyDescent="0.25">
      <c r="B3" s="60"/>
      <c r="C3" s="61"/>
      <c r="D3" s="61"/>
      <c r="E3" s="61"/>
      <c r="F3" s="61"/>
      <c r="G3" s="62"/>
      <c r="H3" s="51"/>
      <c r="I3" s="26" t="e">
        <f>VLOOKUP(H4,B20:AY122,36)</f>
        <v>#N/A</v>
      </c>
      <c r="J3" s="26" t="e">
        <f>VLOOKUP(H4,B20:AY122,37)</f>
        <v>#N/A</v>
      </c>
      <c r="Q3" s="16" t="s">
        <v>57</v>
      </c>
      <c r="R3" s="21"/>
      <c r="S3" s="6"/>
      <c r="T3" s="6"/>
      <c r="U3" s="6"/>
      <c r="V3" s="6"/>
      <c r="W3" s="6"/>
      <c r="X3" s="21"/>
      <c r="Y3" s="6"/>
      <c r="Z3" s="6"/>
      <c r="AA3" s="6"/>
      <c r="AB3" s="6"/>
      <c r="AC3" s="6"/>
      <c r="AD3" s="21"/>
      <c r="AE3" s="6"/>
      <c r="AF3" s="6"/>
      <c r="AG3" s="6"/>
      <c r="AH3" s="6"/>
      <c r="AI3" s="6"/>
      <c r="AJ3" s="6"/>
    </row>
    <row r="4" spans="2:82" ht="15.75" customHeight="1" x14ac:dyDescent="0.25">
      <c r="B4" s="60"/>
      <c r="C4" s="61"/>
      <c r="D4" s="61"/>
      <c r="E4" s="61"/>
      <c r="F4" s="61"/>
      <c r="G4" s="62"/>
      <c r="H4" s="46"/>
      <c r="Q4" s="19" t="s">
        <v>58</v>
      </c>
      <c r="R4" s="21"/>
      <c r="S4" s="6"/>
      <c r="T4" s="6"/>
      <c r="U4" s="6"/>
      <c r="V4" s="6"/>
      <c r="W4" s="6"/>
      <c r="X4" s="21"/>
      <c r="Y4" s="6"/>
      <c r="Z4" s="6"/>
      <c r="AA4" s="6"/>
      <c r="AB4" s="6"/>
      <c r="AC4" s="6"/>
      <c r="AD4" s="21"/>
      <c r="AE4" s="6"/>
      <c r="AF4" s="6"/>
      <c r="AG4" s="6"/>
      <c r="AH4" s="6"/>
      <c r="AI4" s="6"/>
      <c r="AJ4" s="6"/>
    </row>
    <row r="5" spans="2:82" ht="15.75" customHeight="1" x14ac:dyDescent="0.25">
      <c r="B5" s="63"/>
      <c r="C5" s="64"/>
      <c r="D5" s="64"/>
      <c r="E5" s="64"/>
      <c r="F5" s="64"/>
      <c r="G5" s="65"/>
      <c r="H5" s="48"/>
      <c r="I5"/>
      <c r="Q5" s="20" t="s">
        <v>59</v>
      </c>
      <c r="R5" s="21"/>
      <c r="S5" s="6"/>
      <c r="T5" s="6"/>
      <c r="U5" s="6"/>
      <c r="V5" s="6"/>
      <c r="W5" s="6"/>
      <c r="X5" s="21"/>
      <c r="Y5" s="6"/>
      <c r="Z5" s="6"/>
      <c r="AA5" s="6"/>
      <c r="AB5" s="6"/>
      <c r="AC5" s="6"/>
      <c r="AD5" s="21"/>
      <c r="AE5" s="6"/>
      <c r="AF5" s="6"/>
      <c r="AG5" s="6"/>
      <c r="AH5" s="6"/>
      <c r="AI5" s="6"/>
      <c r="AJ5" s="6"/>
    </row>
    <row r="6" spans="2:82" ht="15.75" customHeight="1" x14ac:dyDescent="0.25">
      <c r="B6" s="66"/>
      <c r="C6" s="32"/>
      <c r="D6" s="32"/>
      <c r="E6" s="32"/>
      <c r="F6" s="32"/>
      <c r="G6" s="32"/>
      <c r="H6" s="33"/>
      <c r="I6"/>
      <c r="Q6" s="16" t="s">
        <v>60</v>
      </c>
      <c r="R6" s="22">
        <v>0</v>
      </c>
      <c r="S6" s="22">
        <v>1</v>
      </c>
      <c r="T6" s="22">
        <v>2</v>
      </c>
      <c r="U6" s="22">
        <v>3</v>
      </c>
      <c r="V6" s="22">
        <v>4</v>
      </c>
      <c r="W6" s="22">
        <v>5</v>
      </c>
      <c r="X6" s="22">
        <v>6</v>
      </c>
      <c r="Y6" s="22">
        <v>7</v>
      </c>
      <c r="Z6" s="22">
        <v>8</v>
      </c>
      <c r="AA6" s="22">
        <v>9</v>
      </c>
      <c r="AB6" s="22">
        <v>10</v>
      </c>
      <c r="AC6" s="22">
        <v>11</v>
      </c>
      <c r="AD6" s="22">
        <v>12</v>
      </c>
      <c r="AE6" s="22">
        <v>13</v>
      </c>
      <c r="AF6" s="22">
        <v>14</v>
      </c>
      <c r="AG6" s="22">
        <v>15</v>
      </c>
      <c r="AH6" s="22">
        <v>16</v>
      </c>
      <c r="AI6" s="22">
        <v>17</v>
      </c>
      <c r="AJ6" s="22">
        <v>18</v>
      </c>
      <c r="AR6" s="17">
        <v>0</v>
      </c>
      <c r="AS6" s="17">
        <v>1</v>
      </c>
      <c r="AT6" s="17">
        <v>2</v>
      </c>
      <c r="AU6" s="17">
        <v>3</v>
      </c>
      <c r="AV6" s="17">
        <v>4</v>
      </c>
      <c r="AW6" s="17">
        <v>5</v>
      </c>
      <c r="AX6" s="17">
        <v>6</v>
      </c>
      <c r="AY6" s="17">
        <v>7</v>
      </c>
      <c r="AZ6" s="17">
        <v>8</v>
      </c>
      <c r="BA6" s="17">
        <v>9</v>
      </c>
      <c r="BB6" s="17">
        <v>10</v>
      </c>
      <c r="BC6" s="17">
        <v>11</v>
      </c>
      <c r="BD6" s="17">
        <v>12</v>
      </c>
      <c r="BE6" s="17">
        <v>13</v>
      </c>
      <c r="BF6" s="17">
        <v>14</v>
      </c>
      <c r="BG6" s="17">
        <v>15</v>
      </c>
      <c r="BH6" s="17">
        <v>16</v>
      </c>
      <c r="BI6" s="17">
        <v>17</v>
      </c>
      <c r="BJ6" s="17">
        <v>18</v>
      </c>
      <c r="BL6" s="17">
        <v>0</v>
      </c>
      <c r="BM6" s="17">
        <v>1</v>
      </c>
      <c r="BN6" s="17">
        <v>2</v>
      </c>
      <c r="BO6" s="17">
        <v>3</v>
      </c>
      <c r="BP6" s="17">
        <v>4</v>
      </c>
      <c r="BQ6" s="17">
        <v>5</v>
      </c>
      <c r="BR6" s="17">
        <v>6</v>
      </c>
      <c r="BS6" s="17">
        <v>7</v>
      </c>
      <c r="BT6" s="17">
        <v>8</v>
      </c>
      <c r="BU6" s="17">
        <v>9</v>
      </c>
      <c r="BV6" s="17">
        <v>10</v>
      </c>
      <c r="BW6" s="17">
        <v>11</v>
      </c>
      <c r="BX6" s="17">
        <v>12</v>
      </c>
      <c r="BY6" s="17">
        <v>13</v>
      </c>
      <c r="BZ6" s="17">
        <v>14</v>
      </c>
      <c r="CA6" s="17">
        <v>15</v>
      </c>
      <c r="CB6" s="17">
        <v>16</v>
      </c>
      <c r="CC6" s="17">
        <v>17</v>
      </c>
      <c r="CD6" s="17">
        <v>18</v>
      </c>
    </row>
    <row r="7" spans="2:82" ht="15.75" customHeight="1" x14ac:dyDescent="0.25">
      <c r="Q7" s="16">
        <v>0</v>
      </c>
      <c r="R7" s="18"/>
      <c r="S7" s="18"/>
      <c r="T7" s="18"/>
      <c r="U7" s="18"/>
      <c r="V7" s="18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Q7" s="17">
        <v>0</v>
      </c>
      <c r="AR7" s="26" t="e">
        <f>LEFT(R7,SEARCH("/",R7)-2)</f>
        <v>#VALUE!</v>
      </c>
      <c r="AS7" s="26" t="e">
        <f>LEFT(S7,SEARCH("/",S7)-2)</f>
        <v>#VALUE!</v>
      </c>
      <c r="AT7" s="26" t="e">
        <f t="shared" ref="AT7:BJ17" si="0">LEFT(T7,SEARCH("/",T7)-2)</f>
        <v>#VALUE!</v>
      </c>
      <c r="AU7" s="26" t="e">
        <f t="shared" si="0"/>
        <v>#VALUE!</v>
      </c>
      <c r="AV7" s="26" t="e">
        <f t="shared" si="0"/>
        <v>#VALUE!</v>
      </c>
      <c r="AW7" s="26" t="e">
        <f t="shared" si="0"/>
        <v>#VALUE!</v>
      </c>
      <c r="AX7" s="26" t="e">
        <f t="shared" si="0"/>
        <v>#VALUE!</v>
      </c>
      <c r="AY7" s="26" t="e">
        <f t="shared" si="0"/>
        <v>#VALUE!</v>
      </c>
      <c r="AZ7" s="26" t="e">
        <f t="shared" si="0"/>
        <v>#VALUE!</v>
      </c>
      <c r="BA7" s="26" t="e">
        <f t="shared" si="0"/>
        <v>#VALUE!</v>
      </c>
      <c r="BB7" s="26" t="e">
        <f t="shared" si="0"/>
        <v>#VALUE!</v>
      </c>
      <c r="BC7" s="26" t="e">
        <f t="shared" si="0"/>
        <v>#VALUE!</v>
      </c>
      <c r="BD7" s="26" t="e">
        <f t="shared" si="0"/>
        <v>#VALUE!</v>
      </c>
      <c r="BE7" s="26" t="e">
        <f t="shared" si="0"/>
        <v>#VALUE!</v>
      </c>
      <c r="BF7" s="26" t="e">
        <f t="shared" si="0"/>
        <v>#VALUE!</v>
      </c>
      <c r="BG7" s="26" t="e">
        <f t="shared" si="0"/>
        <v>#VALUE!</v>
      </c>
      <c r="BH7" s="26" t="e">
        <f t="shared" si="0"/>
        <v>#VALUE!</v>
      </c>
      <c r="BI7" s="26" t="e">
        <f t="shared" si="0"/>
        <v>#VALUE!</v>
      </c>
      <c r="BJ7" s="26" t="e">
        <f t="shared" si="0"/>
        <v>#VALUE!</v>
      </c>
      <c r="BK7" s="17">
        <v>0</v>
      </c>
      <c r="BL7" s="26" t="e">
        <f>RIGHT(R7,SEARCH("/",R7)-2)</f>
        <v>#VALUE!</v>
      </c>
      <c r="BM7" s="26" t="e">
        <f t="shared" ref="BM7:CD17" si="1">RIGHT(S7,SEARCH("/",S7)-2)</f>
        <v>#VALUE!</v>
      </c>
      <c r="BN7" s="26" t="e">
        <f t="shared" si="1"/>
        <v>#VALUE!</v>
      </c>
      <c r="BO7" s="26" t="e">
        <f t="shared" si="1"/>
        <v>#VALUE!</v>
      </c>
      <c r="BP7" s="26" t="e">
        <f t="shared" si="1"/>
        <v>#VALUE!</v>
      </c>
      <c r="BQ7" s="26" t="e">
        <f t="shared" si="1"/>
        <v>#VALUE!</v>
      </c>
      <c r="BR7" s="26" t="e">
        <f t="shared" si="1"/>
        <v>#VALUE!</v>
      </c>
      <c r="BS7" s="26" t="e">
        <f t="shared" si="1"/>
        <v>#VALUE!</v>
      </c>
      <c r="BT7" s="26" t="e">
        <f t="shared" si="1"/>
        <v>#VALUE!</v>
      </c>
      <c r="BU7" s="26" t="e">
        <f t="shared" si="1"/>
        <v>#VALUE!</v>
      </c>
      <c r="BV7" s="26" t="e">
        <f t="shared" si="1"/>
        <v>#VALUE!</v>
      </c>
      <c r="BW7" s="26" t="e">
        <f t="shared" si="1"/>
        <v>#VALUE!</v>
      </c>
      <c r="BX7" s="26" t="e">
        <f t="shared" si="1"/>
        <v>#VALUE!</v>
      </c>
      <c r="BY7" s="26" t="e">
        <f t="shared" si="1"/>
        <v>#VALUE!</v>
      </c>
      <c r="BZ7" s="26" t="e">
        <f t="shared" si="1"/>
        <v>#VALUE!</v>
      </c>
      <c r="CA7" s="26" t="e">
        <f t="shared" si="1"/>
        <v>#VALUE!</v>
      </c>
      <c r="CB7" s="26" t="e">
        <f t="shared" si="1"/>
        <v>#VALUE!</v>
      </c>
      <c r="CC7" s="26" t="e">
        <f t="shared" si="1"/>
        <v>#VALUE!</v>
      </c>
      <c r="CD7" s="26" t="e">
        <f t="shared" si="1"/>
        <v>#VALUE!</v>
      </c>
    </row>
    <row r="8" spans="2:82" ht="15.75" customHeight="1" x14ac:dyDescent="0.25">
      <c r="B8" s="73" t="s">
        <v>61</v>
      </c>
      <c r="C8" s="73"/>
      <c r="D8" s="74" t="s">
        <v>2</v>
      </c>
      <c r="E8" s="74"/>
      <c r="F8" s="74"/>
      <c r="G8" s="74"/>
      <c r="H8" s="74"/>
      <c r="K8" s="7"/>
      <c r="L8" s="7"/>
      <c r="M8" s="7"/>
      <c r="N8" s="7"/>
      <c r="Q8" s="16">
        <v>1</v>
      </c>
      <c r="R8" s="18"/>
      <c r="S8" s="18"/>
      <c r="T8" s="18"/>
      <c r="U8" s="18"/>
      <c r="V8" s="18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Q8" s="17">
        <v>1</v>
      </c>
      <c r="AR8" s="26" t="e">
        <f t="shared" ref="AR8:AS17" si="2">LEFT(R8,SEARCH("/",R8)-2)</f>
        <v>#VALUE!</v>
      </c>
      <c r="AS8" s="26" t="e">
        <f t="shared" si="2"/>
        <v>#VALUE!</v>
      </c>
      <c r="AT8" s="26" t="e">
        <f t="shared" si="0"/>
        <v>#VALUE!</v>
      </c>
      <c r="AU8" s="26" t="e">
        <f t="shared" si="0"/>
        <v>#VALUE!</v>
      </c>
      <c r="AV8" s="26" t="e">
        <f t="shared" si="0"/>
        <v>#VALUE!</v>
      </c>
      <c r="AW8" s="26" t="e">
        <f t="shared" si="0"/>
        <v>#VALUE!</v>
      </c>
      <c r="AX8" s="26" t="e">
        <f t="shared" si="0"/>
        <v>#VALUE!</v>
      </c>
      <c r="AY8" s="26" t="e">
        <f t="shared" si="0"/>
        <v>#VALUE!</v>
      </c>
      <c r="AZ8" s="26" t="e">
        <f t="shared" si="0"/>
        <v>#VALUE!</v>
      </c>
      <c r="BA8" s="26" t="e">
        <f t="shared" si="0"/>
        <v>#VALUE!</v>
      </c>
      <c r="BB8" s="26" t="e">
        <f t="shared" si="0"/>
        <v>#VALUE!</v>
      </c>
      <c r="BC8" s="26" t="e">
        <f t="shared" si="0"/>
        <v>#VALUE!</v>
      </c>
      <c r="BD8" s="26" t="e">
        <f t="shared" si="0"/>
        <v>#VALUE!</v>
      </c>
      <c r="BE8" s="26" t="e">
        <f t="shared" si="0"/>
        <v>#VALUE!</v>
      </c>
      <c r="BF8" s="26" t="e">
        <f t="shared" si="0"/>
        <v>#VALUE!</v>
      </c>
      <c r="BG8" s="26" t="e">
        <f t="shared" si="0"/>
        <v>#VALUE!</v>
      </c>
      <c r="BH8" s="26" t="e">
        <f t="shared" si="0"/>
        <v>#VALUE!</v>
      </c>
      <c r="BI8" s="26" t="e">
        <f t="shared" si="0"/>
        <v>#VALUE!</v>
      </c>
      <c r="BJ8" s="26" t="e">
        <f t="shared" si="0"/>
        <v>#VALUE!</v>
      </c>
      <c r="BK8" s="17">
        <v>1</v>
      </c>
      <c r="BL8" s="26" t="e">
        <f t="shared" ref="BL8:BL17" si="3">RIGHT(R8,SEARCH("/",R8)-2)</f>
        <v>#VALUE!</v>
      </c>
      <c r="BM8" s="26" t="e">
        <f t="shared" si="1"/>
        <v>#VALUE!</v>
      </c>
      <c r="BN8" s="26" t="e">
        <f t="shared" si="1"/>
        <v>#VALUE!</v>
      </c>
      <c r="BO8" s="26" t="e">
        <f t="shared" si="1"/>
        <v>#VALUE!</v>
      </c>
      <c r="BP8" s="26" t="e">
        <f t="shared" si="1"/>
        <v>#VALUE!</v>
      </c>
      <c r="BQ8" s="26" t="e">
        <f t="shared" si="1"/>
        <v>#VALUE!</v>
      </c>
      <c r="BR8" s="26" t="e">
        <f t="shared" si="1"/>
        <v>#VALUE!</v>
      </c>
      <c r="BS8" s="26" t="e">
        <f t="shared" si="1"/>
        <v>#VALUE!</v>
      </c>
      <c r="BT8" s="26" t="e">
        <f t="shared" si="1"/>
        <v>#VALUE!</v>
      </c>
      <c r="BU8" s="26" t="e">
        <f t="shared" si="1"/>
        <v>#VALUE!</v>
      </c>
      <c r="BV8" s="26" t="e">
        <f t="shared" si="1"/>
        <v>#VALUE!</v>
      </c>
      <c r="BW8" s="26" t="e">
        <f t="shared" si="1"/>
        <v>#VALUE!</v>
      </c>
      <c r="BX8" s="26" t="e">
        <f t="shared" si="1"/>
        <v>#VALUE!</v>
      </c>
      <c r="BY8" s="26" t="e">
        <f t="shared" si="1"/>
        <v>#VALUE!</v>
      </c>
      <c r="BZ8" s="26" t="e">
        <f t="shared" si="1"/>
        <v>#VALUE!</v>
      </c>
      <c r="CA8" s="26" t="e">
        <f t="shared" si="1"/>
        <v>#VALUE!</v>
      </c>
      <c r="CB8" s="26" t="e">
        <f t="shared" si="1"/>
        <v>#VALUE!</v>
      </c>
      <c r="CC8" s="26" t="e">
        <f t="shared" si="1"/>
        <v>#VALUE!</v>
      </c>
      <c r="CD8" s="26" t="e">
        <f t="shared" si="1"/>
        <v>#VALUE!</v>
      </c>
    </row>
    <row r="9" spans="2:82" ht="15.75" customHeight="1" x14ac:dyDescent="0.25">
      <c r="B9" s="73"/>
      <c r="C9" s="73"/>
      <c r="D9" s="74"/>
      <c r="E9" s="74"/>
      <c r="F9" s="74"/>
      <c r="G9" s="74"/>
      <c r="H9" s="74"/>
      <c r="K9" s="7"/>
      <c r="L9" s="7"/>
      <c r="M9" s="7"/>
      <c r="N9" s="7"/>
      <c r="Q9" s="16">
        <v>2</v>
      </c>
      <c r="R9" s="18"/>
      <c r="S9" s="18"/>
      <c r="T9" s="18"/>
      <c r="U9" s="18"/>
      <c r="V9" s="18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Q9" s="17">
        <v>2</v>
      </c>
      <c r="AR9" s="26" t="e">
        <f t="shared" si="2"/>
        <v>#VALUE!</v>
      </c>
      <c r="AS9" s="26" t="e">
        <f t="shared" si="2"/>
        <v>#VALUE!</v>
      </c>
      <c r="AT9" s="26" t="e">
        <f t="shared" si="0"/>
        <v>#VALUE!</v>
      </c>
      <c r="AU9" s="26" t="e">
        <f t="shared" si="0"/>
        <v>#VALUE!</v>
      </c>
      <c r="AV9" s="26" t="e">
        <f t="shared" si="0"/>
        <v>#VALUE!</v>
      </c>
      <c r="AW9" s="26" t="e">
        <f t="shared" si="0"/>
        <v>#VALUE!</v>
      </c>
      <c r="AX9" s="26" t="e">
        <f t="shared" si="0"/>
        <v>#VALUE!</v>
      </c>
      <c r="AY9" s="26" t="e">
        <f t="shared" si="0"/>
        <v>#VALUE!</v>
      </c>
      <c r="AZ9" s="26" t="e">
        <f t="shared" si="0"/>
        <v>#VALUE!</v>
      </c>
      <c r="BA9" s="26" t="e">
        <f t="shared" si="0"/>
        <v>#VALUE!</v>
      </c>
      <c r="BB9" s="26" t="e">
        <f t="shared" si="0"/>
        <v>#VALUE!</v>
      </c>
      <c r="BC9" s="26" t="e">
        <f t="shared" si="0"/>
        <v>#VALUE!</v>
      </c>
      <c r="BD9" s="26" t="e">
        <f t="shared" si="0"/>
        <v>#VALUE!</v>
      </c>
      <c r="BE9" s="26" t="e">
        <f t="shared" si="0"/>
        <v>#VALUE!</v>
      </c>
      <c r="BF9" s="26" t="e">
        <f t="shared" si="0"/>
        <v>#VALUE!</v>
      </c>
      <c r="BG9" s="26" t="e">
        <f t="shared" si="0"/>
        <v>#VALUE!</v>
      </c>
      <c r="BH9" s="26" t="e">
        <f t="shared" si="0"/>
        <v>#VALUE!</v>
      </c>
      <c r="BI9" s="26" t="e">
        <f t="shared" si="0"/>
        <v>#VALUE!</v>
      </c>
      <c r="BJ9" s="26" t="e">
        <f t="shared" si="0"/>
        <v>#VALUE!</v>
      </c>
      <c r="BK9" s="17">
        <v>2</v>
      </c>
      <c r="BL9" s="26" t="e">
        <f t="shared" si="3"/>
        <v>#VALUE!</v>
      </c>
      <c r="BM9" s="26" t="e">
        <f t="shared" si="1"/>
        <v>#VALUE!</v>
      </c>
      <c r="BN9" s="26" t="e">
        <f t="shared" si="1"/>
        <v>#VALUE!</v>
      </c>
      <c r="BO9" s="26" t="e">
        <f t="shared" si="1"/>
        <v>#VALUE!</v>
      </c>
      <c r="BP9" s="26" t="e">
        <f t="shared" si="1"/>
        <v>#VALUE!</v>
      </c>
      <c r="BQ9" s="26" t="e">
        <f t="shared" si="1"/>
        <v>#VALUE!</v>
      </c>
      <c r="BR9" s="26" t="e">
        <f t="shared" si="1"/>
        <v>#VALUE!</v>
      </c>
      <c r="BS9" s="26" t="e">
        <f t="shared" si="1"/>
        <v>#VALUE!</v>
      </c>
      <c r="BT9" s="26" t="e">
        <f t="shared" si="1"/>
        <v>#VALUE!</v>
      </c>
      <c r="BU9" s="26" t="e">
        <f t="shared" si="1"/>
        <v>#VALUE!</v>
      </c>
      <c r="BV9" s="26" t="e">
        <f t="shared" si="1"/>
        <v>#VALUE!</v>
      </c>
      <c r="BW9" s="26" t="e">
        <f t="shared" si="1"/>
        <v>#VALUE!</v>
      </c>
      <c r="BX9" s="26" t="e">
        <f t="shared" si="1"/>
        <v>#VALUE!</v>
      </c>
      <c r="BY9" s="26" t="e">
        <f t="shared" si="1"/>
        <v>#VALUE!</v>
      </c>
      <c r="BZ9" s="26" t="e">
        <f t="shared" si="1"/>
        <v>#VALUE!</v>
      </c>
      <c r="CA9" s="26" t="e">
        <f t="shared" si="1"/>
        <v>#VALUE!</v>
      </c>
      <c r="CB9" s="26" t="e">
        <f t="shared" si="1"/>
        <v>#VALUE!</v>
      </c>
      <c r="CC9" s="26" t="e">
        <f t="shared" si="1"/>
        <v>#VALUE!</v>
      </c>
      <c r="CD9" s="26" t="e">
        <f t="shared" si="1"/>
        <v>#VALUE!</v>
      </c>
    </row>
    <row r="10" spans="2:82" ht="15.75" customHeight="1" x14ac:dyDescent="0.25">
      <c r="B10" s="73"/>
      <c r="C10" s="73"/>
      <c r="D10" s="74"/>
      <c r="E10" s="74"/>
      <c r="F10" s="74"/>
      <c r="G10" s="74"/>
      <c r="H10" s="74"/>
      <c r="I10" s="5"/>
      <c r="J10" s="5"/>
      <c r="K10" s="5"/>
      <c r="L10" s="5"/>
      <c r="M10" s="5"/>
      <c r="N10" s="5"/>
      <c r="Q10" s="16">
        <v>3</v>
      </c>
      <c r="R10" s="18"/>
      <c r="S10" s="18"/>
      <c r="T10" s="18"/>
      <c r="U10" s="18"/>
      <c r="V10" s="18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Q10" s="17">
        <v>3</v>
      </c>
      <c r="AR10" s="26" t="e">
        <f t="shared" si="2"/>
        <v>#VALUE!</v>
      </c>
      <c r="AS10" s="26" t="e">
        <f t="shared" si="2"/>
        <v>#VALUE!</v>
      </c>
      <c r="AT10" s="26" t="e">
        <f t="shared" si="0"/>
        <v>#VALUE!</v>
      </c>
      <c r="AU10" s="26" t="e">
        <f t="shared" si="0"/>
        <v>#VALUE!</v>
      </c>
      <c r="AV10" s="26" t="e">
        <f t="shared" si="0"/>
        <v>#VALUE!</v>
      </c>
      <c r="AW10" s="26" t="e">
        <f t="shared" si="0"/>
        <v>#VALUE!</v>
      </c>
      <c r="AX10" s="26" t="e">
        <f t="shared" si="0"/>
        <v>#VALUE!</v>
      </c>
      <c r="AY10" s="26" t="e">
        <f t="shared" si="0"/>
        <v>#VALUE!</v>
      </c>
      <c r="AZ10" s="26" t="e">
        <f t="shared" si="0"/>
        <v>#VALUE!</v>
      </c>
      <c r="BA10" s="26" t="e">
        <f t="shared" si="0"/>
        <v>#VALUE!</v>
      </c>
      <c r="BB10" s="26" t="e">
        <f t="shared" si="0"/>
        <v>#VALUE!</v>
      </c>
      <c r="BC10" s="26" t="e">
        <f t="shared" si="0"/>
        <v>#VALUE!</v>
      </c>
      <c r="BD10" s="26" t="e">
        <f t="shared" si="0"/>
        <v>#VALUE!</v>
      </c>
      <c r="BE10" s="26" t="e">
        <f t="shared" si="0"/>
        <v>#VALUE!</v>
      </c>
      <c r="BF10" s="26" t="e">
        <f t="shared" si="0"/>
        <v>#VALUE!</v>
      </c>
      <c r="BG10" s="26" t="e">
        <f t="shared" si="0"/>
        <v>#VALUE!</v>
      </c>
      <c r="BH10" s="26" t="e">
        <f t="shared" si="0"/>
        <v>#VALUE!</v>
      </c>
      <c r="BI10" s="26" t="e">
        <f t="shared" si="0"/>
        <v>#VALUE!</v>
      </c>
      <c r="BJ10" s="26" t="e">
        <f t="shared" si="0"/>
        <v>#VALUE!</v>
      </c>
      <c r="BK10" s="17">
        <v>3</v>
      </c>
      <c r="BL10" s="26" t="e">
        <f t="shared" si="3"/>
        <v>#VALUE!</v>
      </c>
      <c r="BM10" s="26" t="e">
        <f t="shared" si="1"/>
        <v>#VALUE!</v>
      </c>
      <c r="BN10" s="26" t="e">
        <f t="shared" si="1"/>
        <v>#VALUE!</v>
      </c>
      <c r="BO10" s="26" t="e">
        <f t="shared" si="1"/>
        <v>#VALUE!</v>
      </c>
      <c r="BP10" s="26" t="e">
        <f t="shared" si="1"/>
        <v>#VALUE!</v>
      </c>
      <c r="BQ10" s="26" t="e">
        <f t="shared" si="1"/>
        <v>#VALUE!</v>
      </c>
      <c r="BR10" s="26" t="e">
        <f t="shared" si="1"/>
        <v>#VALUE!</v>
      </c>
      <c r="BS10" s="26" t="e">
        <f t="shared" si="1"/>
        <v>#VALUE!</v>
      </c>
      <c r="BT10" s="26" t="e">
        <f t="shared" si="1"/>
        <v>#VALUE!</v>
      </c>
      <c r="BU10" s="26" t="e">
        <f t="shared" si="1"/>
        <v>#VALUE!</v>
      </c>
      <c r="BV10" s="26" t="e">
        <f t="shared" si="1"/>
        <v>#VALUE!</v>
      </c>
      <c r="BW10" s="26" t="e">
        <f t="shared" si="1"/>
        <v>#VALUE!</v>
      </c>
      <c r="BX10" s="26" t="e">
        <f t="shared" si="1"/>
        <v>#VALUE!</v>
      </c>
      <c r="BY10" s="26" t="e">
        <f t="shared" si="1"/>
        <v>#VALUE!</v>
      </c>
      <c r="BZ10" s="26" t="e">
        <f t="shared" si="1"/>
        <v>#VALUE!</v>
      </c>
      <c r="CA10" s="26" t="e">
        <f t="shared" si="1"/>
        <v>#VALUE!</v>
      </c>
      <c r="CB10" s="26" t="e">
        <f t="shared" si="1"/>
        <v>#VALUE!</v>
      </c>
      <c r="CC10" s="26" t="e">
        <f t="shared" si="1"/>
        <v>#VALUE!</v>
      </c>
      <c r="CD10" s="26" t="e">
        <f t="shared" si="1"/>
        <v>#VALUE!</v>
      </c>
    </row>
    <row r="11" spans="2:82" ht="16.5" customHeight="1" x14ac:dyDescent="0.25">
      <c r="B11" s="73"/>
      <c r="C11" s="73"/>
      <c r="D11" s="74"/>
      <c r="E11" s="74"/>
      <c r="F11" s="74"/>
      <c r="G11" s="74"/>
      <c r="H11" s="74"/>
      <c r="I11"/>
      <c r="J11" s="15"/>
      <c r="Q11" s="16">
        <v>4</v>
      </c>
      <c r="R11" s="18"/>
      <c r="S11" s="18"/>
      <c r="T11" s="18"/>
      <c r="U11" s="18"/>
      <c r="V11" s="18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Q11" s="17">
        <v>4</v>
      </c>
      <c r="AR11" s="26" t="e">
        <f t="shared" si="2"/>
        <v>#VALUE!</v>
      </c>
      <c r="AS11" s="26" t="e">
        <f t="shared" si="2"/>
        <v>#VALUE!</v>
      </c>
      <c r="AT11" s="26" t="e">
        <f t="shared" si="0"/>
        <v>#VALUE!</v>
      </c>
      <c r="AU11" s="26" t="e">
        <f t="shared" si="0"/>
        <v>#VALUE!</v>
      </c>
      <c r="AV11" s="26" t="e">
        <f t="shared" si="0"/>
        <v>#VALUE!</v>
      </c>
      <c r="AW11" s="26" t="e">
        <f t="shared" si="0"/>
        <v>#VALUE!</v>
      </c>
      <c r="AX11" s="26" t="e">
        <f t="shared" si="0"/>
        <v>#VALUE!</v>
      </c>
      <c r="AY11" s="26" t="e">
        <f t="shared" si="0"/>
        <v>#VALUE!</v>
      </c>
      <c r="AZ11" s="26" t="e">
        <f t="shared" si="0"/>
        <v>#VALUE!</v>
      </c>
      <c r="BA11" s="26" t="e">
        <f t="shared" si="0"/>
        <v>#VALUE!</v>
      </c>
      <c r="BB11" s="26" t="e">
        <f t="shared" si="0"/>
        <v>#VALUE!</v>
      </c>
      <c r="BC11" s="26" t="e">
        <f t="shared" si="0"/>
        <v>#VALUE!</v>
      </c>
      <c r="BD11" s="26" t="e">
        <f t="shared" si="0"/>
        <v>#VALUE!</v>
      </c>
      <c r="BE11" s="26" t="e">
        <f t="shared" si="0"/>
        <v>#VALUE!</v>
      </c>
      <c r="BF11" s="26" t="e">
        <f t="shared" si="0"/>
        <v>#VALUE!</v>
      </c>
      <c r="BG11" s="26" t="e">
        <f t="shared" si="0"/>
        <v>#VALUE!</v>
      </c>
      <c r="BH11" s="26" t="e">
        <f t="shared" si="0"/>
        <v>#VALUE!</v>
      </c>
      <c r="BI11" s="26" t="e">
        <f t="shared" si="0"/>
        <v>#VALUE!</v>
      </c>
      <c r="BJ11" s="26" t="e">
        <f t="shared" si="0"/>
        <v>#VALUE!</v>
      </c>
      <c r="BK11" s="17">
        <v>4</v>
      </c>
      <c r="BL11" s="26" t="e">
        <f t="shared" si="3"/>
        <v>#VALUE!</v>
      </c>
      <c r="BM11" s="26" t="e">
        <f t="shared" si="1"/>
        <v>#VALUE!</v>
      </c>
      <c r="BN11" s="26" t="e">
        <f t="shared" si="1"/>
        <v>#VALUE!</v>
      </c>
      <c r="BO11" s="26" t="e">
        <f t="shared" si="1"/>
        <v>#VALUE!</v>
      </c>
      <c r="BP11" s="26" t="e">
        <f t="shared" si="1"/>
        <v>#VALUE!</v>
      </c>
      <c r="BQ11" s="26" t="e">
        <f t="shared" si="1"/>
        <v>#VALUE!</v>
      </c>
      <c r="BR11" s="26" t="e">
        <f t="shared" si="1"/>
        <v>#VALUE!</v>
      </c>
      <c r="BS11" s="26" t="e">
        <f t="shared" si="1"/>
        <v>#VALUE!</v>
      </c>
      <c r="BT11" s="26" t="e">
        <f t="shared" si="1"/>
        <v>#VALUE!</v>
      </c>
      <c r="BU11" s="26" t="e">
        <f t="shared" si="1"/>
        <v>#VALUE!</v>
      </c>
      <c r="BV11" s="26" t="e">
        <f t="shared" si="1"/>
        <v>#VALUE!</v>
      </c>
      <c r="BW11" s="26" t="e">
        <f t="shared" si="1"/>
        <v>#VALUE!</v>
      </c>
      <c r="BX11" s="26" t="e">
        <f t="shared" si="1"/>
        <v>#VALUE!</v>
      </c>
      <c r="BY11" s="26" t="e">
        <f t="shared" si="1"/>
        <v>#VALUE!</v>
      </c>
      <c r="BZ11" s="26" t="e">
        <f t="shared" si="1"/>
        <v>#VALUE!</v>
      </c>
      <c r="CA11" s="26" t="e">
        <f t="shared" si="1"/>
        <v>#VALUE!</v>
      </c>
      <c r="CB11" s="26" t="e">
        <f t="shared" si="1"/>
        <v>#VALUE!</v>
      </c>
      <c r="CC11" s="26" t="e">
        <f t="shared" si="1"/>
        <v>#VALUE!</v>
      </c>
      <c r="CD11" s="26" t="e">
        <f t="shared" si="1"/>
        <v>#VALUE!</v>
      </c>
    </row>
    <row r="12" spans="2:82" x14ac:dyDescent="0.25">
      <c r="B12"/>
      <c r="C12"/>
      <c r="D12"/>
      <c r="E12" s="23"/>
      <c r="F12" s="23"/>
      <c r="G12" s="23"/>
      <c r="H12" s="23"/>
      <c r="Q12" s="16">
        <v>5</v>
      </c>
      <c r="R12" s="18"/>
      <c r="S12" s="18"/>
      <c r="T12" s="18"/>
      <c r="U12" s="18"/>
      <c r="V12" s="18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Q12" s="17">
        <v>5</v>
      </c>
      <c r="AR12" s="26" t="e">
        <f t="shared" si="2"/>
        <v>#VALUE!</v>
      </c>
      <c r="AS12" s="26" t="e">
        <f t="shared" si="2"/>
        <v>#VALUE!</v>
      </c>
      <c r="AT12" s="26" t="e">
        <f t="shared" si="0"/>
        <v>#VALUE!</v>
      </c>
      <c r="AU12" s="26" t="e">
        <f t="shared" si="0"/>
        <v>#VALUE!</v>
      </c>
      <c r="AV12" s="26" t="e">
        <f t="shared" si="0"/>
        <v>#VALUE!</v>
      </c>
      <c r="AW12" s="26" t="e">
        <f t="shared" si="0"/>
        <v>#VALUE!</v>
      </c>
      <c r="AX12" s="26" t="e">
        <f t="shared" si="0"/>
        <v>#VALUE!</v>
      </c>
      <c r="AY12" s="26" t="e">
        <f t="shared" si="0"/>
        <v>#VALUE!</v>
      </c>
      <c r="AZ12" s="26" t="e">
        <f t="shared" si="0"/>
        <v>#VALUE!</v>
      </c>
      <c r="BA12" s="26" t="e">
        <f t="shared" si="0"/>
        <v>#VALUE!</v>
      </c>
      <c r="BB12" s="26" t="e">
        <f t="shared" si="0"/>
        <v>#VALUE!</v>
      </c>
      <c r="BC12" s="26" t="e">
        <f t="shared" si="0"/>
        <v>#VALUE!</v>
      </c>
      <c r="BD12" s="26" t="e">
        <f t="shared" si="0"/>
        <v>#VALUE!</v>
      </c>
      <c r="BE12" s="26" t="e">
        <f t="shared" si="0"/>
        <v>#VALUE!</v>
      </c>
      <c r="BF12" s="26" t="e">
        <f t="shared" si="0"/>
        <v>#VALUE!</v>
      </c>
      <c r="BG12" s="26" t="e">
        <f t="shared" si="0"/>
        <v>#VALUE!</v>
      </c>
      <c r="BH12" s="26" t="e">
        <f t="shared" si="0"/>
        <v>#VALUE!</v>
      </c>
      <c r="BI12" s="26" t="e">
        <f t="shared" si="0"/>
        <v>#VALUE!</v>
      </c>
      <c r="BJ12" s="26" t="e">
        <f t="shared" si="0"/>
        <v>#VALUE!</v>
      </c>
      <c r="BK12" s="17">
        <v>5</v>
      </c>
      <c r="BL12" s="26" t="e">
        <f t="shared" si="3"/>
        <v>#VALUE!</v>
      </c>
      <c r="BM12" s="26" t="e">
        <f t="shared" si="1"/>
        <v>#VALUE!</v>
      </c>
      <c r="BN12" s="26" t="e">
        <f t="shared" si="1"/>
        <v>#VALUE!</v>
      </c>
      <c r="BO12" s="26" t="e">
        <f t="shared" si="1"/>
        <v>#VALUE!</v>
      </c>
      <c r="BP12" s="26" t="e">
        <f t="shared" si="1"/>
        <v>#VALUE!</v>
      </c>
      <c r="BQ12" s="26" t="e">
        <f t="shared" si="1"/>
        <v>#VALUE!</v>
      </c>
      <c r="BR12" s="26" t="e">
        <f t="shared" si="1"/>
        <v>#VALUE!</v>
      </c>
      <c r="BS12" s="26" t="e">
        <f t="shared" si="1"/>
        <v>#VALUE!</v>
      </c>
      <c r="BT12" s="26" t="e">
        <f t="shared" si="1"/>
        <v>#VALUE!</v>
      </c>
      <c r="BU12" s="26" t="e">
        <f t="shared" si="1"/>
        <v>#VALUE!</v>
      </c>
      <c r="BV12" s="26" t="e">
        <f t="shared" si="1"/>
        <v>#VALUE!</v>
      </c>
      <c r="BW12" s="26" t="e">
        <f t="shared" si="1"/>
        <v>#VALUE!</v>
      </c>
      <c r="BX12" s="26" t="e">
        <f t="shared" si="1"/>
        <v>#VALUE!</v>
      </c>
      <c r="BY12" s="26" t="e">
        <f t="shared" si="1"/>
        <v>#VALUE!</v>
      </c>
      <c r="BZ12" s="26" t="e">
        <f t="shared" si="1"/>
        <v>#VALUE!</v>
      </c>
      <c r="CA12" s="26" t="e">
        <f t="shared" si="1"/>
        <v>#VALUE!</v>
      </c>
      <c r="CB12" s="26" t="e">
        <f t="shared" si="1"/>
        <v>#VALUE!</v>
      </c>
      <c r="CC12" s="26" t="e">
        <f t="shared" si="1"/>
        <v>#VALUE!</v>
      </c>
      <c r="CD12" s="26" t="e">
        <f t="shared" si="1"/>
        <v>#VALUE!</v>
      </c>
    </row>
    <row r="13" spans="2:82" x14ac:dyDescent="0.25">
      <c r="B13" s="67" t="s">
        <v>3</v>
      </c>
      <c r="C13" s="67"/>
      <c r="D13" s="67"/>
      <c r="E13" s="67"/>
      <c r="F13" s="67"/>
      <c r="G13" s="67"/>
      <c r="H13" s="67"/>
      <c r="Q13" s="16">
        <v>6</v>
      </c>
      <c r="R13" s="18"/>
      <c r="S13" s="18"/>
      <c r="T13" s="18"/>
      <c r="U13" s="18"/>
      <c r="V13" s="18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Q13" s="17">
        <v>6</v>
      </c>
      <c r="AR13" s="26" t="e">
        <f t="shared" si="2"/>
        <v>#VALUE!</v>
      </c>
      <c r="AS13" s="26" t="e">
        <f t="shared" si="2"/>
        <v>#VALUE!</v>
      </c>
      <c r="AT13" s="26" t="e">
        <f t="shared" si="0"/>
        <v>#VALUE!</v>
      </c>
      <c r="AU13" s="26" t="e">
        <f t="shared" si="0"/>
        <v>#VALUE!</v>
      </c>
      <c r="AV13" s="26" t="e">
        <f t="shared" si="0"/>
        <v>#VALUE!</v>
      </c>
      <c r="AW13" s="26" t="e">
        <f t="shared" si="0"/>
        <v>#VALUE!</v>
      </c>
      <c r="AX13" s="26" t="e">
        <f t="shared" si="0"/>
        <v>#VALUE!</v>
      </c>
      <c r="AY13" s="26" t="e">
        <f t="shared" si="0"/>
        <v>#VALUE!</v>
      </c>
      <c r="AZ13" s="26" t="e">
        <f t="shared" si="0"/>
        <v>#VALUE!</v>
      </c>
      <c r="BA13" s="26" t="e">
        <f t="shared" si="0"/>
        <v>#VALUE!</v>
      </c>
      <c r="BB13" s="26" t="e">
        <f t="shared" si="0"/>
        <v>#VALUE!</v>
      </c>
      <c r="BC13" s="26" t="e">
        <f t="shared" si="0"/>
        <v>#VALUE!</v>
      </c>
      <c r="BD13" s="26" t="e">
        <f t="shared" si="0"/>
        <v>#VALUE!</v>
      </c>
      <c r="BE13" s="26" t="e">
        <f t="shared" si="0"/>
        <v>#VALUE!</v>
      </c>
      <c r="BF13" s="26" t="e">
        <f t="shared" si="0"/>
        <v>#VALUE!</v>
      </c>
      <c r="BG13" s="26" t="e">
        <f t="shared" si="0"/>
        <v>#VALUE!</v>
      </c>
      <c r="BH13" s="26" t="e">
        <f t="shared" si="0"/>
        <v>#VALUE!</v>
      </c>
      <c r="BI13" s="26" t="e">
        <f t="shared" si="0"/>
        <v>#VALUE!</v>
      </c>
      <c r="BJ13" s="26" t="e">
        <f t="shared" si="0"/>
        <v>#VALUE!</v>
      </c>
      <c r="BK13" s="17">
        <v>6</v>
      </c>
      <c r="BL13" s="26" t="e">
        <f t="shared" si="3"/>
        <v>#VALUE!</v>
      </c>
      <c r="BM13" s="26" t="e">
        <f t="shared" si="1"/>
        <v>#VALUE!</v>
      </c>
      <c r="BN13" s="26" t="e">
        <f t="shared" si="1"/>
        <v>#VALUE!</v>
      </c>
      <c r="BO13" s="26" t="e">
        <f t="shared" si="1"/>
        <v>#VALUE!</v>
      </c>
      <c r="BP13" s="26" t="e">
        <f t="shared" si="1"/>
        <v>#VALUE!</v>
      </c>
      <c r="BQ13" s="26" t="e">
        <f t="shared" si="1"/>
        <v>#VALUE!</v>
      </c>
      <c r="BR13" s="26" t="e">
        <f t="shared" si="1"/>
        <v>#VALUE!</v>
      </c>
      <c r="BS13" s="26" t="e">
        <f t="shared" si="1"/>
        <v>#VALUE!</v>
      </c>
      <c r="BT13" s="26" t="e">
        <f t="shared" si="1"/>
        <v>#VALUE!</v>
      </c>
      <c r="BU13" s="26" t="e">
        <f t="shared" si="1"/>
        <v>#VALUE!</v>
      </c>
      <c r="BV13" s="26" t="e">
        <f t="shared" si="1"/>
        <v>#VALUE!</v>
      </c>
      <c r="BW13" s="26" t="e">
        <f t="shared" si="1"/>
        <v>#VALUE!</v>
      </c>
      <c r="BX13" s="26" t="e">
        <f t="shared" si="1"/>
        <v>#VALUE!</v>
      </c>
      <c r="BY13" s="26" t="e">
        <f t="shared" si="1"/>
        <v>#VALUE!</v>
      </c>
      <c r="BZ13" s="26" t="e">
        <f t="shared" si="1"/>
        <v>#VALUE!</v>
      </c>
      <c r="CA13" s="26" t="e">
        <f t="shared" si="1"/>
        <v>#VALUE!</v>
      </c>
      <c r="CB13" s="26" t="e">
        <f t="shared" si="1"/>
        <v>#VALUE!</v>
      </c>
      <c r="CC13" s="26" t="e">
        <f t="shared" si="1"/>
        <v>#VALUE!</v>
      </c>
      <c r="CD13" s="26" t="e">
        <f t="shared" si="1"/>
        <v>#VALUE!</v>
      </c>
    </row>
    <row r="14" spans="2:82" ht="16.5" customHeight="1" x14ac:dyDescent="0.25">
      <c r="B14" s="67"/>
      <c r="C14" s="67"/>
      <c r="D14" s="67"/>
      <c r="E14" s="67"/>
      <c r="F14" s="67"/>
      <c r="G14" s="67"/>
      <c r="H14" s="67"/>
      <c r="Q14" s="16">
        <v>7</v>
      </c>
      <c r="R14" s="18"/>
      <c r="S14" s="18"/>
      <c r="T14" s="18"/>
      <c r="U14" s="18"/>
      <c r="V14" s="18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Q14" s="17">
        <v>7</v>
      </c>
      <c r="AR14" s="26" t="e">
        <f t="shared" si="2"/>
        <v>#VALUE!</v>
      </c>
      <c r="AS14" s="26" t="e">
        <f t="shared" si="2"/>
        <v>#VALUE!</v>
      </c>
      <c r="AT14" s="26" t="e">
        <f t="shared" si="0"/>
        <v>#VALUE!</v>
      </c>
      <c r="AU14" s="26" t="e">
        <f t="shared" si="0"/>
        <v>#VALUE!</v>
      </c>
      <c r="AV14" s="26" t="e">
        <f t="shared" si="0"/>
        <v>#VALUE!</v>
      </c>
      <c r="AW14" s="26" t="e">
        <f t="shared" si="0"/>
        <v>#VALUE!</v>
      </c>
      <c r="AX14" s="26" t="e">
        <f t="shared" si="0"/>
        <v>#VALUE!</v>
      </c>
      <c r="AY14" s="26" t="e">
        <f t="shared" si="0"/>
        <v>#VALUE!</v>
      </c>
      <c r="AZ14" s="26" t="e">
        <f t="shared" si="0"/>
        <v>#VALUE!</v>
      </c>
      <c r="BA14" s="26" t="e">
        <f t="shared" si="0"/>
        <v>#VALUE!</v>
      </c>
      <c r="BB14" s="26" t="e">
        <f t="shared" si="0"/>
        <v>#VALUE!</v>
      </c>
      <c r="BC14" s="26" t="e">
        <f t="shared" si="0"/>
        <v>#VALUE!</v>
      </c>
      <c r="BD14" s="26" t="e">
        <f t="shared" si="0"/>
        <v>#VALUE!</v>
      </c>
      <c r="BE14" s="26" t="e">
        <f t="shared" si="0"/>
        <v>#VALUE!</v>
      </c>
      <c r="BF14" s="26" t="e">
        <f t="shared" si="0"/>
        <v>#VALUE!</v>
      </c>
      <c r="BG14" s="26" t="e">
        <f t="shared" si="0"/>
        <v>#VALUE!</v>
      </c>
      <c r="BH14" s="26" t="e">
        <f t="shared" si="0"/>
        <v>#VALUE!</v>
      </c>
      <c r="BI14" s="26" t="e">
        <f t="shared" si="0"/>
        <v>#VALUE!</v>
      </c>
      <c r="BJ14" s="26" t="e">
        <f t="shared" si="0"/>
        <v>#VALUE!</v>
      </c>
      <c r="BK14" s="17">
        <v>7</v>
      </c>
      <c r="BL14" s="26" t="e">
        <f t="shared" si="3"/>
        <v>#VALUE!</v>
      </c>
      <c r="BM14" s="26" t="e">
        <f t="shared" si="1"/>
        <v>#VALUE!</v>
      </c>
      <c r="BN14" s="26" t="e">
        <f t="shared" si="1"/>
        <v>#VALUE!</v>
      </c>
      <c r="BO14" s="26" t="e">
        <f t="shared" si="1"/>
        <v>#VALUE!</v>
      </c>
      <c r="BP14" s="26" t="e">
        <f t="shared" si="1"/>
        <v>#VALUE!</v>
      </c>
      <c r="BQ14" s="26" t="e">
        <f t="shared" si="1"/>
        <v>#VALUE!</v>
      </c>
      <c r="BR14" s="26" t="e">
        <f t="shared" si="1"/>
        <v>#VALUE!</v>
      </c>
      <c r="BS14" s="26" t="e">
        <f t="shared" si="1"/>
        <v>#VALUE!</v>
      </c>
      <c r="BT14" s="26" t="e">
        <f t="shared" si="1"/>
        <v>#VALUE!</v>
      </c>
      <c r="BU14" s="26" t="e">
        <f t="shared" si="1"/>
        <v>#VALUE!</v>
      </c>
      <c r="BV14" s="26" t="e">
        <f t="shared" si="1"/>
        <v>#VALUE!</v>
      </c>
      <c r="BW14" s="26" t="e">
        <f t="shared" si="1"/>
        <v>#VALUE!</v>
      </c>
      <c r="BX14" s="26" t="e">
        <f t="shared" si="1"/>
        <v>#VALUE!</v>
      </c>
      <c r="BY14" s="26" t="e">
        <f t="shared" si="1"/>
        <v>#VALUE!</v>
      </c>
      <c r="BZ14" s="26" t="e">
        <f t="shared" si="1"/>
        <v>#VALUE!</v>
      </c>
      <c r="CA14" s="26" t="e">
        <f t="shared" si="1"/>
        <v>#VALUE!</v>
      </c>
      <c r="CB14" s="26" t="e">
        <f t="shared" si="1"/>
        <v>#VALUE!</v>
      </c>
      <c r="CC14" s="26" t="e">
        <f t="shared" si="1"/>
        <v>#VALUE!</v>
      </c>
      <c r="CD14" s="26" t="e">
        <f t="shared" si="1"/>
        <v>#VALUE!</v>
      </c>
    </row>
    <row r="15" spans="2:82" x14ac:dyDescent="0.25">
      <c r="B15" s="52" t="s">
        <v>4</v>
      </c>
      <c r="C15" s="33"/>
      <c r="D15" s="6"/>
      <c r="E15" s="6"/>
      <c r="F15" s="6"/>
      <c r="G15" s="6"/>
      <c r="H15" s="6"/>
      <c r="Q15" s="16">
        <v>8</v>
      </c>
      <c r="R15" s="18"/>
      <c r="S15" s="18"/>
      <c r="T15" s="18"/>
      <c r="U15" s="18"/>
      <c r="V15" s="18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Q15" s="17">
        <v>8</v>
      </c>
      <c r="AR15" s="26" t="e">
        <f t="shared" si="2"/>
        <v>#VALUE!</v>
      </c>
      <c r="AS15" s="26" t="e">
        <f t="shared" si="2"/>
        <v>#VALUE!</v>
      </c>
      <c r="AT15" s="26" t="e">
        <f t="shared" si="0"/>
        <v>#VALUE!</v>
      </c>
      <c r="AU15" s="26" t="e">
        <f t="shared" si="0"/>
        <v>#VALUE!</v>
      </c>
      <c r="AV15" s="26" t="e">
        <f t="shared" si="0"/>
        <v>#VALUE!</v>
      </c>
      <c r="AW15" s="26" t="e">
        <f t="shared" si="0"/>
        <v>#VALUE!</v>
      </c>
      <c r="AX15" s="26" t="e">
        <f t="shared" si="0"/>
        <v>#VALUE!</v>
      </c>
      <c r="AY15" s="26" t="e">
        <f t="shared" si="0"/>
        <v>#VALUE!</v>
      </c>
      <c r="AZ15" s="26" t="e">
        <f t="shared" si="0"/>
        <v>#VALUE!</v>
      </c>
      <c r="BA15" s="26" t="e">
        <f t="shared" si="0"/>
        <v>#VALUE!</v>
      </c>
      <c r="BB15" s="26" t="e">
        <f t="shared" si="0"/>
        <v>#VALUE!</v>
      </c>
      <c r="BC15" s="26" t="e">
        <f t="shared" si="0"/>
        <v>#VALUE!</v>
      </c>
      <c r="BD15" s="26" t="e">
        <f t="shared" si="0"/>
        <v>#VALUE!</v>
      </c>
      <c r="BE15" s="26" t="e">
        <f t="shared" si="0"/>
        <v>#VALUE!</v>
      </c>
      <c r="BF15" s="26" t="e">
        <f t="shared" si="0"/>
        <v>#VALUE!</v>
      </c>
      <c r="BG15" s="26" t="e">
        <f t="shared" si="0"/>
        <v>#VALUE!</v>
      </c>
      <c r="BH15" s="26" t="e">
        <f t="shared" si="0"/>
        <v>#VALUE!</v>
      </c>
      <c r="BI15" s="26" t="e">
        <f t="shared" si="0"/>
        <v>#VALUE!</v>
      </c>
      <c r="BJ15" s="26" t="e">
        <f t="shared" si="0"/>
        <v>#VALUE!</v>
      </c>
      <c r="BK15" s="17">
        <v>8</v>
      </c>
      <c r="BL15" s="26" t="e">
        <f t="shared" si="3"/>
        <v>#VALUE!</v>
      </c>
      <c r="BM15" s="26" t="e">
        <f t="shared" si="1"/>
        <v>#VALUE!</v>
      </c>
      <c r="BN15" s="26" t="e">
        <f t="shared" si="1"/>
        <v>#VALUE!</v>
      </c>
      <c r="BO15" s="26" t="e">
        <f t="shared" si="1"/>
        <v>#VALUE!</v>
      </c>
      <c r="BP15" s="26" t="e">
        <f t="shared" si="1"/>
        <v>#VALUE!</v>
      </c>
      <c r="BQ15" s="26" t="e">
        <f t="shared" si="1"/>
        <v>#VALUE!</v>
      </c>
      <c r="BR15" s="26" t="e">
        <f t="shared" si="1"/>
        <v>#VALUE!</v>
      </c>
      <c r="BS15" s="26" t="e">
        <f t="shared" si="1"/>
        <v>#VALUE!</v>
      </c>
      <c r="BT15" s="26" t="e">
        <f t="shared" si="1"/>
        <v>#VALUE!</v>
      </c>
      <c r="BU15" s="26" t="e">
        <f t="shared" si="1"/>
        <v>#VALUE!</v>
      </c>
      <c r="BV15" s="26" t="e">
        <f t="shared" si="1"/>
        <v>#VALUE!</v>
      </c>
      <c r="BW15" s="26" t="e">
        <f t="shared" si="1"/>
        <v>#VALUE!</v>
      </c>
      <c r="BX15" s="26" t="e">
        <f t="shared" si="1"/>
        <v>#VALUE!</v>
      </c>
      <c r="BY15" s="26" t="e">
        <f t="shared" si="1"/>
        <v>#VALUE!</v>
      </c>
      <c r="BZ15" s="26" t="e">
        <f t="shared" si="1"/>
        <v>#VALUE!</v>
      </c>
      <c r="CA15" s="26" t="e">
        <f t="shared" si="1"/>
        <v>#VALUE!</v>
      </c>
      <c r="CB15" s="26" t="e">
        <f t="shared" si="1"/>
        <v>#VALUE!</v>
      </c>
      <c r="CC15" s="26" t="e">
        <f t="shared" si="1"/>
        <v>#VALUE!</v>
      </c>
      <c r="CD15" s="26" t="e">
        <f t="shared" si="1"/>
        <v>#VALUE!</v>
      </c>
    </row>
    <row r="16" spans="2:82" x14ac:dyDescent="0.25">
      <c r="B16" s="53" t="s">
        <v>5</v>
      </c>
      <c r="C16" s="54"/>
      <c r="D16" s="6"/>
      <c r="E16" s="6"/>
      <c r="F16" s="6"/>
      <c r="G16" s="6"/>
      <c r="H16" s="6"/>
      <c r="Q16" s="16">
        <v>9</v>
      </c>
      <c r="R16" s="18"/>
      <c r="S16" s="18"/>
      <c r="T16" s="18"/>
      <c r="U16" s="18"/>
      <c r="V16" s="18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Q16" s="17">
        <v>9</v>
      </c>
      <c r="AR16" s="26" t="e">
        <f t="shared" si="2"/>
        <v>#VALUE!</v>
      </c>
      <c r="AS16" s="26" t="e">
        <f t="shared" si="2"/>
        <v>#VALUE!</v>
      </c>
      <c r="AT16" s="26" t="e">
        <f t="shared" si="0"/>
        <v>#VALUE!</v>
      </c>
      <c r="AU16" s="26" t="e">
        <f t="shared" si="0"/>
        <v>#VALUE!</v>
      </c>
      <c r="AV16" s="26" t="e">
        <f t="shared" si="0"/>
        <v>#VALUE!</v>
      </c>
      <c r="AW16" s="26" t="e">
        <f t="shared" si="0"/>
        <v>#VALUE!</v>
      </c>
      <c r="AX16" s="26" t="e">
        <f t="shared" si="0"/>
        <v>#VALUE!</v>
      </c>
      <c r="AY16" s="26" t="e">
        <f t="shared" si="0"/>
        <v>#VALUE!</v>
      </c>
      <c r="AZ16" s="26" t="e">
        <f t="shared" si="0"/>
        <v>#VALUE!</v>
      </c>
      <c r="BA16" s="26" t="e">
        <f t="shared" si="0"/>
        <v>#VALUE!</v>
      </c>
      <c r="BB16" s="26" t="e">
        <f t="shared" si="0"/>
        <v>#VALUE!</v>
      </c>
      <c r="BC16" s="26" t="e">
        <f t="shared" si="0"/>
        <v>#VALUE!</v>
      </c>
      <c r="BD16" s="26" t="e">
        <f t="shared" si="0"/>
        <v>#VALUE!</v>
      </c>
      <c r="BE16" s="26" t="e">
        <f t="shared" si="0"/>
        <v>#VALUE!</v>
      </c>
      <c r="BF16" s="26" t="e">
        <f t="shared" si="0"/>
        <v>#VALUE!</v>
      </c>
      <c r="BG16" s="26" t="e">
        <f t="shared" si="0"/>
        <v>#VALUE!</v>
      </c>
      <c r="BH16" s="26" t="e">
        <f t="shared" si="0"/>
        <v>#VALUE!</v>
      </c>
      <c r="BI16" s="26" t="e">
        <f t="shared" si="0"/>
        <v>#VALUE!</v>
      </c>
      <c r="BJ16" s="26" t="e">
        <f t="shared" si="0"/>
        <v>#VALUE!</v>
      </c>
      <c r="BK16" s="17">
        <v>9</v>
      </c>
      <c r="BL16" s="26" t="e">
        <f t="shared" si="3"/>
        <v>#VALUE!</v>
      </c>
      <c r="BM16" s="26" t="e">
        <f t="shared" si="1"/>
        <v>#VALUE!</v>
      </c>
      <c r="BN16" s="26" t="e">
        <f t="shared" si="1"/>
        <v>#VALUE!</v>
      </c>
      <c r="BO16" s="26" t="e">
        <f t="shared" si="1"/>
        <v>#VALUE!</v>
      </c>
      <c r="BP16" s="26" t="e">
        <f t="shared" si="1"/>
        <v>#VALUE!</v>
      </c>
      <c r="BQ16" s="26" t="e">
        <f t="shared" si="1"/>
        <v>#VALUE!</v>
      </c>
      <c r="BR16" s="26" t="e">
        <f t="shared" si="1"/>
        <v>#VALUE!</v>
      </c>
      <c r="BS16" s="26" t="e">
        <f t="shared" si="1"/>
        <v>#VALUE!</v>
      </c>
      <c r="BT16" s="26" t="e">
        <f t="shared" si="1"/>
        <v>#VALUE!</v>
      </c>
      <c r="BU16" s="26" t="e">
        <f t="shared" si="1"/>
        <v>#VALUE!</v>
      </c>
      <c r="BV16" s="26" t="e">
        <f t="shared" si="1"/>
        <v>#VALUE!</v>
      </c>
      <c r="BW16" s="26" t="e">
        <f t="shared" si="1"/>
        <v>#VALUE!</v>
      </c>
      <c r="BX16" s="26" t="e">
        <f t="shared" si="1"/>
        <v>#VALUE!</v>
      </c>
      <c r="BY16" s="26" t="e">
        <f t="shared" si="1"/>
        <v>#VALUE!</v>
      </c>
      <c r="BZ16" s="26" t="e">
        <f t="shared" si="1"/>
        <v>#VALUE!</v>
      </c>
      <c r="CA16" s="26" t="e">
        <f t="shared" si="1"/>
        <v>#VALUE!</v>
      </c>
      <c r="CB16" s="26" t="e">
        <f t="shared" si="1"/>
        <v>#VALUE!</v>
      </c>
      <c r="CC16" s="26" t="e">
        <f t="shared" si="1"/>
        <v>#VALUE!</v>
      </c>
      <c r="CD16" s="26" t="e">
        <f t="shared" si="1"/>
        <v>#VALUE!</v>
      </c>
    </row>
    <row r="17" spans="2:82" x14ac:dyDescent="0.25">
      <c r="B17" s="55" t="s">
        <v>6</v>
      </c>
      <c r="C17" s="56"/>
      <c r="D17" s="6"/>
      <c r="E17" s="6"/>
      <c r="F17" s="6"/>
      <c r="G17" s="6"/>
      <c r="H17" s="6"/>
      <c r="Q17" s="16">
        <v>10</v>
      </c>
      <c r="R17" s="18"/>
      <c r="S17" s="18"/>
      <c r="T17" s="18"/>
      <c r="U17" s="18"/>
      <c r="V17" s="18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Q17" s="17">
        <v>10</v>
      </c>
      <c r="AR17" s="26" t="e">
        <f t="shared" si="2"/>
        <v>#VALUE!</v>
      </c>
      <c r="AS17" s="26" t="e">
        <f t="shared" si="2"/>
        <v>#VALUE!</v>
      </c>
      <c r="AT17" s="26" t="e">
        <f t="shared" si="0"/>
        <v>#VALUE!</v>
      </c>
      <c r="AU17" s="26" t="e">
        <f t="shared" si="0"/>
        <v>#VALUE!</v>
      </c>
      <c r="AV17" s="26" t="e">
        <f t="shared" si="0"/>
        <v>#VALUE!</v>
      </c>
      <c r="AW17" s="26" t="e">
        <f t="shared" si="0"/>
        <v>#VALUE!</v>
      </c>
      <c r="AX17" s="26" t="e">
        <f t="shared" si="0"/>
        <v>#VALUE!</v>
      </c>
      <c r="AY17" s="26" t="e">
        <f t="shared" si="0"/>
        <v>#VALUE!</v>
      </c>
      <c r="AZ17" s="26" t="e">
        <f t="shared" si="0"/>
        <v>#VALUE!</v>
      </c>
      <c r="BA17" s="26" t="e">
        <f t="shared" si="0"/>
        <v>#VALUE!</v>
      </c>
      <c r="BB17" s="26" t="e">
        <f t="shared" si="0"/>
        <v>#VALUE!</v>
      </c>
      <c r="BC17" s="26" t="e">
        <f t="shared" si="0"/>
        <v>#VALUE!</v>
      </c>
      <c r="BD17" s="26" t="e">
        <f t="shared" si="0"/>
        <v>#VALUE!</v>
      </c>
      <c r="BE17" s="26" t="e">
        <f t="shared" si="0"/>
        <v>#VALUE!</v>
      </c>
      <c r="BF17" s="26" t="e">
        <f t="shared" si="0"/>
        <v>#VALUE!</v>
      </c>
      <c r="BG17" s="26" t="e">
        <f t="shared" si="0"/>
        <v>#VALUE!</v>
      </c>
      <c r="BH17" s="26" t="e">
        <f t="shared" si="0"/>
        <v>#VALUE!</v>
      </c>
      <c r="BI17" s="26" t="e">
        <f t="shared" si="0"/>
        <v>#VALUE!</v>
      </c>
      <c r="BJ17" s="26" t="e">
        <f t="shared" si="0"/>
        <v>#VALUE!</v>
      </c>
      <c r="BK17" s="17">
        <v>10</v>
      </c>
      <c r="BL17" s="26" t="e">
        <f t="shared" si="3"/>
        <v>#VALUE!</v>
      </c>
      <c r="BM17" s="26" t="e">
        <f t="shared" si="1"/>
        <v>#VALUE!</v>
      </c>
      <c r="BN17" s="26" t="e">
        <f t="shared" si="1"/>
        <v>#VALUE!</v>
      </c>
      <c r="BO17" s="26" t="e">
        <f t="shared" si="1"/>
        <v>#VALUE!</v>
      </c>
      <c r="BP17" s="26" t="e">
        <f t="shared" si="1"/>
        <v>#VALUE!</v>
      </c>
      <c r="BQ17" s="26" t="e">
        <f t="shared" si="1"/>
        <v>#VALUE!</v>
      </c>
      <c r="BR17" s="26" t="e">
        <f t="shared" si="1"/>
        <v>#VALUE!</v>
      </c>
      <c r="BS17" s="26" t="e">
        <f t="shared" si="1"/>
        <v>#VALUE!</v>
      </c>
      <c r="BT17" s="26" t="e">
        <f t="shared" si="1"/>
        <v>#VALUE!</v>
      </c>
      <c r="BU17" s="26" t="e">
        <f t="shared" si="1"/>
        <v>#VALUE!</v>
      </c>
      <c r="BV17" s="26" t="e">
        <f t="shared" si="1"/>
        <v>#VALUE!</v>
      </c>
      <c r="BW17" s="26" t="e">
        <f t="shared" si="1"/>
        <v>#VALUE!</v>
      </c>
      <c r="BX17" s="26" t="e">
        <f t="shared" si="1"/>
        <v>#VALUE!</v>
      </c>
      <c r="BY17" s="26" t="e">
        <f t="shared" si="1"/>
        <v>#VALUE!</v>
      </c>
      <c r="BZ17" s="26" t="e">
        <f t="shared" si="1"/>
        <v>#VALUE!</v>
      </c>
      <c r="CA17" s="26" t="e">
        <f t="shared" si="1"/>
        <v>#VALUE!</v>
      </c>
      <c r="CB17" s="26" t="e">
        <f t="shared" si="1"/>
        <v>#VALUE!</v>
      </c>
      <c r="CC17" s="26" t="e">
        <f t="shared" si="1"/>
        <v>#VALUE!</v>
      </c>
      <c r="CD17" s="26" t="e">
        <f t="shared" si="1"/>
        <v>#VALUE!</v>
      </c>
    </row>
    <row r="18" spans="2:82" x14ac:dyDescent="0.25">
      <c r="K18" s="26">
        <f>VLOOKUP($H$4+0.1,$J$23:$V$122,6,FALSE)</f>
        <v>0</v>
      </c>
      <c r="L18" s="26">
        <f>VLOOKUP($H$4+0.1,$J$23:$V$122,7,FALSE)</f>
        <v>0</v>
      </c>
      <c r="M18" s="26">
        <f>VLOOKUP($H$4+0.1,$J$23:$V$122,8,FALSE)</f>
        <v>0</v>
      </c>
      <c r="N18" s="26">
        <f>VLOOKUP($H$4+0.1,$J$23:$V$122,9,FALSE)</f>
        <v>0</v>
      </c>
      <c r="O18" s="26">
        <f>VLOOKUP($H$4+0.1,$J$23:$V$122,10,FALSE)</f>
        <v>0</v>
      </c>
      <c r="P18" s="26">
        <f>VLOOKUP($H$4+0.1,$J$23:$V$122,11,FALSE)</f>
        <v>0</v>
      </c>
      <c r="Q18" s="26">
        <f>VLOOKUP($H$4+0.1,$J$23:$V$122,12,FALSE)</f>
        <v>0</v>
      </c>
      <c r="R18" s="26">
        <f>VLOOKUP($H$4+0.1,$J$23:$V$122,13,FALSE)</f>
        <v>0</v>
      </c>
      <c r="U18" s="26">
        <f>VLOOKUP($H$4+0.4,$J$23:$V$122,6,FALSE)</f>
        <v>0</v>
      </c>
      <c r="V18" s="26">
        <f>VLOOKUP($H$4+0.4,$J$23:$V$122,7,FALSE)</f>
        <v>0</v>
      </c>
      <c r="W18" s="26">
        <f>VLOOKUP($H$4+0.4,$J$23:$V$122,8,FALSE)</f>
        <v>0</v>
      </c>
      <c r="X18" s="26">
        <f>VLOOKUP($H$4+0.4,$J$23:$V$122,9,FALSE)</f>
        <v>0</v>
      </c>
      <c r="Y18" s="26">
        <f>VLOOKUP($H$4+0.4,$J$23:$V$122,10,FALSE)</f>
        <v>0</v>
      </c>
      <c r="Z18" s="26">
        <f>VLOOKUP($H$4+0.4,$J$23:$V$122,11,FALSE)</f>
        <v>0</v>
      </c>
      <c r="AA18" s="26">
        <f>VLOOKUP($H$4+0.4,$J$23:$V$122,12,FALSE)</f>
        <v>0</v>
      </c>
      <c r="AB18" s="26">
        <f>VLOOKUP($H$4+0.4,$J$23:$V$122,13,FALSE)</f>
        <v>0</v>
      </c>
    </row>
    <row r="19" spans="2:82" x14ac:dyDescent="0.25">
      <c r="K19" s="26">
        <f>VLOOKUP($H$4+0.2,$J$23:$V$122,6,FALSE)</f>
        <v>0</v>
      </c>
      <c r="L19" s="26">
        <f>VLOOKUP($H$4+0.2,$J$23:$V$122,7,FALSE)</f>
        <v>0</v>
      </c>
      <c r="M19" s="26">
        <f>VLOOKUP($H$4+0.2,$J$23:$V$122,8,FALSE)</f>
        <v>0</v>
      </c>
      <c r="N19" s="26">
        <f>VLOOKUP($H$4+0.2,$J$23:$V$122,9,FALSE)</f>
        <v>0</v>
      </c>
      <c r="O19" s="26">
        <f>VLOOKUP($H$4+0.2,$J$23:$V$122,10,FALSE)</f>
        <v>0</v>
      </c>
      <c r="P19" s="26">
        <f>VLOOKUP($H$4+0.2,$J$23:$V$122,11,FALSE)</f>
        <v>0</v>
      </c>
      <c r="Q19" s="26">
        <f>VLOOKUP($H$4+0.2,$J$23:$V$122,12,FALSE)</f>
        <v>0</v>
      </c>
      <c r="R19" s="26">
        <f>VLOOKUP($H$4+0.2,$J$23:$V$122,13,FALSE)</f>
        <v>0</v>
      </c>
      <c r="U19" s="17">
        <v>0</v>
      </c>
      <c r="V19" s="17">
        <v>3699</v>
      </c>
    </row>
    <row r="20" spans="2:82" s="1" customFormat="1" x14ac:dyDescent="0.25">
      <c r="B20" s="68" t="s">
        <v>50</v>
      </c>
      <c r="C20" s="69"/>
      <c r="D20" s="69"/>
      <c r="E20" s="69"/>
      <c r="F20" s="69"/>
      <c r="G20" s="69"/>
      <c r="H20" s="70"/>
      <c r="I20"/>
      <c r="K20" s="31" t="s">
        <v>7</v>
      </c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3"/>
      <c r="W20" s="10" t="s">
        <v>8</v>
      </c>
      <c r="X20" s="31" t="s">
        <v>9</v>
      </c>
      <c r="Y20" s="32"/>
      <c r="Z20" s="32"/>
      <c r="AA20" s="33"/>
      <c r="AB20" s="31" t="s">
        <v>10</v>
      </c>
      <c r="AC20" s="31"/>
      <c r="AD20" s="31"/>
      <c r="AE20" s="31"/>
      <c r="AF20" s="31"/>
      <c r="AG20" s="31" t="s">
        <v>11</v>
      </c>
      <c r="AH20" s="32"/>
      <c r="AI20" s="33"/>
      <c r="AJ20" s="31" t="s">
        <v>12</v>
      </c>
      <c r="AK20" s="32"/>
      <c r="AL20" s="33"/>
      <c r="AM20" s="31" t="s">
        <v>13</v>
      </c>
      <c r="AN20" s="32"/>
      <c r="AO20" s="32"/>
      <c r="AP20" s="33"/>
    </row>
    <row r="21" spans="2:82" s="2" customFormat="1" ht="45" customHeight="1" x14ac:dyDescent="0.25">
      <c r="B21" s="71"/>
      <c r="C21" s="72"/>
      <c r="D21" s="72"/>
      <c r="E21" s="72"/>
      <c r="F21" s="72"/>
      <c r="G21" s="72"/>
      <c r="H21" s="51"/>
      <c r="I21"/>
      <c r="K21" s="37" t="s">
        <v>14</v>
      </c>
      <c r="L21" s="30"/>
      <c r="M21" s="30"/>
      <c r="N21" s="38" t="s">
        <v>38</v>
      </c>
      <c r="O21" s="45">
        <v>0</v>
      </c>
      <c r="P21" s="36">
        <v>1</v>
      </c>
      <c r="Q21" s="36">
        <v>50</v>
      </c>
      <c r="R21" s="36">
        <v>250</v>
      </c>
      <c r="S21" s="37">
        <v>500</v>
      </c>
      <c r="T21" s="37">
        <v>750</v>
      </c>
      <c r="U21" s="37">
        <v>950</v>
      </c>
      <c r="V21" s="37">
        <v>999</v>
      </c>
      <c r="W21" s="34" t="s">
        <v>15</v>
      </c>
      <c r="X21" s="9" t="s">
        <v>39</v>
      </c>
      <c r="Y21" s="9" t="s">
        <v>40</v>
      </c>
      <c r="Z21" s="8" t="s">
        <v>41</v>
      </c>
      <c r="AA21" s="9" t="s">
        <v>42</v>
      </c>
      <c r="AB21" s="8" t="s">
        <v>54</v>
      </c>
      <c r="AC21" s="9" t="s">
        <v>55</v>
      </c>
      <c r="AD21" s="24" t="s">
        <v>56</v>
      </c>
      <c r="AE21" s="9" t="s">
        <v>43</v>
      </c>
      <c r="AF21" s="13" t="s">
        <v>44</v>
      </c>
      <c r="AG21" s="9" t="s">
        <v>45</v>
      </c>
      <c r="AH21" s="9" t="s">
        <v>46</v>
      </c>
      <c r="AI21" s="9" t="s">
        <v>16</v>
      </c>
      <c r="AJ21" s="9" t="s">
        <v>47</v>
      </c>
      <c r="AK21" s="9" t="s">
        <v>48</v>
      </c>
      <c r="AL21" s="9" t="s">
        <v>49</v>
      </c>
      <c r="AM21" s="24" t="s">
        <v>17</v>
      </c>
      <c r="AN21" s="25" t="s">
        <v>18</v>
      </c>
      <c r="AO21" s="14" t="s">
        <v>19</v>
      </c>
      <c r="AP21" s="8" t="s">
        <v>20</v>
      </c>
    </row>
    <row r="22" spans="2:82" s="3" customFormat="1" ht="24.95" customHeight="1" x14ac:dyDescent="0.25">
      <c r="B22" s="4" t="s">
        <v>1</v>
      </c>
      <c r="C22" s="29" t="s">
        <v>51</v>
      </c>
      <c r="D22" s="30"/>
      <c r="E22" s="30"/>
      <c r="F22" s="29" t="s">
        <v>52</v>
      </c>
      <c r="G22" s="30"/>
      <c r="H22" s="30"/>
      <c r="I22"/>
      <c r="K22" s="30"/>
      <c r="L22" s="30"/>
      <c r="M22" s="30"/>
      <c r="N22" s="38"/>
      <c r="O22" s="35"/>
      <c r="P22" s="35"/>
      <c r="Q22" s="35"/>
      <c r="R22" s="35"/>
      <c r="S22" s="35"/>
      <c r="T22" s="35"/>
      <c r="U22" s="35"/>
      <c r="V22" s="35"/>
      <c r="W22" s="35"/>
      <c r="X22" s="9" t="s">
        <v>21</v>
      </c>
      <c r="Y22" s="11" t="s">
        <v>22</v>
      </c>
      <c r="Z22" s="9" t="s">
        <v>23</v>
      </c>
      <c r="AA22" s="9" t="s">
        <v>11</v>
      </c>
      <c r="AB22" s="9" t="s">
        <v>21</v>
      </c>
      <c r="AC22" s="11" t="s">
        <v>22</v>
      </c>
      <c r="AD22" s="9" t="s">
        <v>23</v>
      </c>
      <c r="AE22" s="9" t="s">
        <v>53</v>
      </c>
      <c r="AF22" s="12" t="s">
        <v>24</v>
      </c>
      <c r="AG22" s="9" t="s">
        <v>11</v>
      </c>
      <c r="AH22" s="10" t="s">
        <v>25</v>
      </c>
      <c r="AI22" s="10" t="s">
        <v>26</v>
      </c>
      <c r="AJ22" s="9" t="s">
        <v>12</v>
      </c>
      <c r="AK22" s="10" t="s">
        <v>27</v>
      </c>
      <c r="AL22" s="10" t="s">
        <v>28</v>
      </c>
      <c r="AM22" s="9" t="s">
        <v>29</v>
      </c>
      <c r="AN22" s="10" t="s">
        <v>30</v>
      </c>
      <c r="AO22" s="10" t="s">
        <v>31</v>
      </c>
      <c r="AP22" s="10" t="s">
        <v>32</v>
      </c>
    </row>
    <row r="23" spans="2:82" s="3" customFormat="1" ht="24.95" customHeight="1" x14ac:dyDescent="0.25">
      <c r="B23" s="29"/>
      <c r="C23" s="29"/>
      <c r="D23" s="30"/>
      <c r="E23" s="30"/>
      <c r="F23" s="29"/>
      <c r="G23" s="30"/>
      <c r="H23" s="30"/>
      <c r="I23"/>
      <c r="J23" s="27">
        <f>B23+0.1</f>
        <v>0.1</v>
      </c>
      <c r="K23" s="44"/>
      <c r="L23" s="30"/>
      <c r="M23" s="30"/>
      <c r="N23" s="16" t="s">
        <v>33</v>
      </c>
      <c r="O23" s="4"/>
      <c r="P23" s="4"/>
      <c r="Q23" s="4"/>
      <c r="R23" s="4"/>
      <c r="S23" s="4"/>
      <c r="T23" s="4"/>
      <c r="U23" s="4"/>
      <c r="V23" s="4"/>
      <c r="W23" s="34" t="str">
        <f>IF(Z23&gt;500,"LV",IF(Y23&gt;500,"Flat","Luma"))</f>
        <v>Luma</v>
      </c>
      <c r="X23" s="34"/>
      <c r="Y23" s="49"/>
      <c r="Z23" s="34">
        <f>X23*Y23/1000</f>
        <v>0</v>
      </c>
      <c r="AA23" s="34">
        <f>IF(AE23&gt;AD23,AR23,0)</f>
        <v>0</v>
      </c>
      <c r="AB23" s="39"/>
      <c r="AC23" s="39"/>
      <c r="AD23" s="39"/>
      <c r="AE23" s="46">
        <f>((AG23-(AH23*10))/10)*_xlfn.XLOOKUP(AI23,$R$2:$AJ$2,$R$3:$AJ$3)+(1-((AG23-(AH23*10))/10))*_xlfn.XLOOKUP(AH23,$R$2:$AJ$2,$R$3:$AJ$3)</f>
        <v>0</v>
      </c>
      <c r="AF23" s="31">
        <f>ROUND(AE23*Z23/1000+AD23*(1-Z23/1000),0)</f>
        <v>0</v>
      </c>
      <c r="AG23" s="34"/>
      <c r="AH23" s="31">
        <f>ROUNDDOWN(AG23/10,0)</f>
        <v>0</v>
      </c>
      <c r="AI23" s="31">
        <f>AH23+1</f>
        <v>1</v>
      </c>
      <c r="AJ23" s="34"/>
      <c r="AK23" s="31">
        <f>IF(AJ23&lt;0,0,IF(AJ23&gt;1000,10,ROUNDDOWN(AJ23/100,0)))</f>
        <v>0</v>
      </c>
      <c r="AL23" s="31">
        <f>IF(AJ23&lt;0,1,IF(AJ23&gt;1000,10,AK23+1))</f>
        <v>1</v>
      </c>
      <c r="AM23" s="34" t="e">
        <f>IF(AJ23&lt;0,INT(AS23+((AT23-AS23)*(AG23-AH23*10)/(AI23*10-AH23*10))),IF(AJ23&gt;1000,(AU23+((AV23-AU23)*(AG23-AH23*10)/(AI23*10-AH23*10))),BA23))</f>
        <v>#VALUE!</v>
      </c>
      <c r="AN23" s="31" t="e">
        <f>IF(AJ23&lt;0,INT(AW23+((AX23-AW23)*(AG23-AH23*10)/(AI23*10-AH23*10))),IF(AJ23&gt;1000,(AY23+((AZ23-AY23)*(AG23-AH23*10)/(AI23*10-AH23*10))),BB23))</f>
        <v>#VALUE!</v>
      </c>
      <c r="AO23" s="31"/>
      <c r="AP23" s="31"/>
      <c r="AR23" s="28"/>
      <c r="AS23" s="28" t="e">
        <f>HLOOKUP(AH23,$AQ$6:$BJ$17,AK23+2,FALSE)</f>
        <v>#VALUE!</v>
      </c>
      <c r="AT23" s="28" t="e">
        <f>HLOOKUP(AI23,$AQ$6:$BJ$17,AK23+2,FALSE)</f>
        <v>#VALUE!</v>
      </c>
      <c r="AU23" s="28" t="e">
        <f>HLOOKUP(AH23,$AQ$6:$BJ$17,AL23+2,FALSE)</f>
        <v>#VALUE!</v>
      </c>
      <c r="AV23" s="28" t="e">
        <f>VLOOKUP(AL23,$AQ$6:$BJ$17,AI23+2,FALSE)</f>
        <v>#VALUE!</v>
      </c>
      <c r="AW23" s="28" t="e">
        <f>HLOOKUP(AH23,$BK$6:$CD$17,AK23+2,FALSE)</f>
        <v>#VALUE!</v>
      </c>
      <c r="AX23" s="28" t="e">
        <f>HLOOKUP(AI23,$BK$6:$CD$17,AK23+2,FALSE)</f>
        <v>#VALUE!</v>
      </c>
      <c r="AY23" s="28" t="e">
        <f>HLOOKUP(AH23,$BK$6:$CD$17,AL23+2,FALSE)</f>
        <v>#VALUE!</v>
      </c>
      <c r="AZ23" s="28" t="e">
        <f>HLOOKUP(AI23,$BK$6:$CD$17,AL23+2,FALSE)</f>
        <v>#VALUE!</v>
      </c>
      <c r="BA23" s="28" t="e">
        <f>INT((AS23+((AT23-AS23)*(AG23-AH23*10)/(AI23*10-AH23*10)))+(((AU23+((AV23-AU23)*(AG23-AH23*10)/(AJ23*10-AH23*10)))-(AS23+((AT23-AS23)*(AG23-AH23*10)/(AI23*10-AH23*10))))*(AJ23-AK23*100)/(AL23*100-AK23*100)))</f>
        <v>#VALUE!</v>
      </c>
      <c r="BB23" s="28" t="e">
        <f>INT((AW23+((AX23-AW23)*(AG23-AH23*10)/(AI23*10-AH23*10)))+(((AY23+((AZ23-AY23)*(AG23-AH23*10)/(AJ23*10-AH23*10)))-(AW23+((AX23-AW23)*(AG23-AH23*10)/(AI23*10-AH23*10))))*(AJ23-AK23*100)/(AL23*100-AK23*100)))</f>
        <v>#VALUE!</v>
      </c>
      <c r="BC23" s="28">
        <f>IF(AG23-50&lt;$D$15,$D$15,AG23-50)</f>
        <v>0</v>
      </c>
      <c r="BD23" s="28" t="e">
        <f>_xlfn.XLOOKUP(BC23,$D$15:$H$15,$D$15:$H$15,,-1)</f>
        <v>#N/A</v>
      </c>
      <c r="BE23" s="28">
        <f>_xlfn.XLOOKUP(BC23,$D$15:$H$15,$D$15:$H$15,,1)</f>
        <v>0</v>
      </c>
      <c r="BF23" s="28" t="e">
        <f>_xlfn.XLOOKUP(BC23,$D$15:$H$15,$D$16:$H$16,,-1)</f>
        <v>#N/A</v>
      </c>
      <c r="BG23" s="28">
        <f>_xlfn.XLOOKUP(BC23,$D$15:$H$15,$D$16:$H$16,,1)</f>
        <v>0</v>
      </c>
      <c r="BH23" s="28" t="e">
        <f>_xlfn.XLOOKUP(BC23,$D$15:$H$15,$D$17:$H$17,,-1)</f>
        <v>#N/A</v>
      </c>
      <c r="BI23" s="28">
        <f>_xlfn.XLOOKUP(BC23,$D$15:$H$15,$D$17:$H$17,,1)</f>
        <v>0</v>
      </c>
      <c r="BJ23" s="28" t="e">
        <f>IF(BD23=BE23,BF23,(((BC23-BD23)/(BE23-BD23))*BG23+(1-((BC23-BD23)/(BE23-BD23)))*BF23))</f>
        <v>#N/A</v>
      </c>
      <c r="BK23" s="28" t="e">
        <f>IF(BD23=BE23,BH23,(((BC23-BD23)/(BE23-BD23))*BI23+(1-((BC23-BD23)/(BE23-BD23)))*BH23))</f>
        <v>#N/A</v>
      </c>
    </row>
    <row r="24" spans="2:82" s="3" customFormat="1" ht="24.95" customHeight="1" x14ac:dyDescent="0.25">
      <c r="B24" s="30"/>
      <c r="C24" s="30"/>
      <c r="D24" s="29"/>
      <c r="E24" s="30"/>
      <c r="F24" s="30"/>
      <c r="G24" s="29"/>
      <c r="H24" s="30"/>
      <c r="I24"/>
      <c r="J24" s="27">
        <f>B23+0.2</f>
        <v>0.2</v>
      </c>
      <c r="K24" s="30"/>
      <c r="L24" s="29"/>
      <c r="M24" s="30"/>
      <c r="N24" s="16" t="s">
        <v>34</v>
      </c>
      <c r="O24" s="4"/>
      <c r="P24" s="4"/>
      <c r="Q24" s="4"/>
      <c r="R24" s="4"/>
      <c r="S24" s="4"/>
      <c r="T24" s="4"/>
      <c r="U24" s="4"/>
      <c r="V24" s="4"/>
      <c r="W24" s="30"/>
      <c r="X24" s="34"/>
      <c r="Y24" s="49"/>
      <c r="Z24" s="34"/>
      <c r="AA24" s="34"/>
      <c r="AB24" s="40"/>
      <c r="AC24" s="40"/>
      <c r="AD24" s="40"/>
      <c r="AE24" s="47"/>
      <c r="AF24" s="43"/>
      <c r="AG24" s="30"/>
      <c r="AH24" s="43"/>
      <c r="AI24" s="43"/>
      <c r="AJ24" s="30"/>
      <c r="AK24" s="30"/>
      <c r="AL24" s="30"/>
      <c r="AM24" s="43"/>
      <c r="AN24" s="43"/>
      <c r="AO24" s="43"/>
      <c r="AP24" s="30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</row>
    <row r="25" spans="2:82" s="3" customFormat="1" ht="24.95" customHeight="1" x14ac:dyDescent="0.25">
      <c r="B25" s="30"/>
      <c r="C25" s="30"/>
      <c r="D25" s="29"/>
      <c r="E25" s="30"/>
      <c r="F25" s="30"/>
      <c r="G25" s="29"/>
      <c r="H25" s="30"/>
      <c r="I25"/>
      <c r="J25" s="27">
        <f>B23+0.3</f>
        <v>0.3</v>
      </c>
      <c r="K25" s="30"/>
      <c r="L25" s="29"/>
      <c r="M25" s="30"/>
      <c r="N25" s="16" t="s">
        <v>35</v>
      </c>
      <c r="O25" s="6">
        <f>O24-O23</f>
        <v>0</v>
      </c>
      <c r="P25" s="6">
        <f t="shared" ref="P25:V25" si="4">P24-P23</f>
        <v>0</v>
      </c>
      <c r="Q25" s="6">
        <f t="shared" si="4"/>
        <v>0</v>
      </c>
      <c r="R25" s="6">
        <f t="shared" si="4"/>
        <v>0</v>
      </c>
      <c r="S25" s="6">
        <f t="shared" si="4"/>
        <v>0</v>
      </c>
      <c r="T25" s="6">
        <f t="shared" si="4"/>
        <v>0</v>
      </c>
      <c r="U25" s="6">
        <f t="shared" si="4"/>
        <v>0</v>
      </c>
      <c r="V25" s="6">
        <f t="shared" si="4"/>
        <v>0</v>
      </c>
      <c r="W25" s="30"/>
      <c r="X25" s="34"/>
      <c r="Y25" s="49"/>
      <c r="Z25" s="34"/>
      <c r="AA25" s="34"/>
      <c r="AB25" s="40"/>
      <c r="AC25" s="40"/>
      <c r="AD25" s="40"/>
      <c r="AE25" s="47"/>
      <c r="AF25" s="43"/>
      <c r="AG25" s="30"/>
      <c r="AH25" s="43"/>
      <c r="AI25" s="43"/>
      <c r="AJ25" s="30"/>
      <c r="AK25" s="30"/>
      <c r="AL25" s="30"/>
      <c r="AM25" s="43"/>
      <c r="AN25" s="43"/>
      <c r="AO25" s="43"/>
      <c r="AP25" s="30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</row>
    <row r="26" spans="2:82" s="3" customFormat="1" ht="24.95" customHeight="1" x14ac:dyDescent="0.25">
      <c r="B26" s="30"/>
      <c r="C26" s="30"/>
      <c r="D26" s="29"/>
      <c r="E26" s="30"/>
      <c r="F26" s="30"/>
      <c r="G26" s="29"/>
      <c r="H26" s="30"/>
      <c r="I26"/>
      <c r="J26" s="27">
        <f>B23+0.4</f>
        <v>0.4</v>
      </c>
      <c r="K26" s="30"/>
      <c r="L26" s="29"/>
      <c r="M26" s="30"/>
      <c r="N26" s="16" t="s">
        <v>37</v>
      </c>
      <c r="O26" s="6"/>
      <c r="P26" s="6"/>
      <c r="Q26" s="6"/>
      <c r="R26" s="6"/>
      <c r="S26" s="6"/>
      <c r="T26" s="6"/>
      <c r="U26" s="6"/>
      <c r="V26" s="6"/>
      <c r="W26" s="30"/>
      <c r="X26" s="42">
        <f>1-Y26-AA26</f>
        <v>1</v>
      </c>
      <c r="Y26" s="42">
        <f>Y23/1000*(1-AA23/1000)</f>
        <v>0</v>
      </c>
      <c r="Z26" s="42">
        <f>X26+Y26</f>
        <v>1</v>
      </c>
      <c r="AA26" s="42">
        <f>AA23/1000</f>
        <v>0</v>
      </c>
      <c r="AB26" s="40"/>
      <c r="AC26" s="40"/>
      <c r="AD26" s="40"/>
      <c r="AE26" s="47"/>
      <c r="AF26" s="43"/>
      <c r="AG26" s="30"/>
      <c r="AH26" s="43"/>
      <c r="AI26" s="43"/>
      <c r="AJ26" s="30"/>
      <c r="AK26" s="30"/>
      <c r="AL26" s="30"/>
      <c r="AM26" s="43"/>
      <c r="AN26" s="43"/>
      <c r="AO26" s="43"/>
      <c r="AP26" s="30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</row>
    <row r="27" spans="2:82" s="3" customFormat="1" ht="24.95" customHeight="1" x14ac:dyDescent="0.25">
      <c r="B27" s="30"/>
      <c r="C27" s="30"/>
      <c r="D27" s="29"/>
      <c r="E27" s="30"/>
      <c r="F27" s="30"/>
      <c r="G27" s="29"/>
      <c r="H27" s="30"/>
      <c r="I27"/>
      <c r="J27" s="27">
        <f>B23+0.5</f>
        <v>0.5</v>
      </c>
      <c r="K27" s="30"/>
      <c r="L27" s="29"/>
      <c r="M27" s="30"/>
      <c r="N27" s="16" t="s">
        <v>36</v>
      </c>
      <c r="O27" s="6">
        <f>O26-O23</f>
        <v>0</v>
      </c>
      <c r="P27" s="6">
        <f t="shared" ref="P27:V27" si="5">P26-P23</f>
        <v>0</v>
      </c>
      <c r="Q27" s="6">
        <f t="shared" si="5"/>
        <v>0</v>
      </c>
      <c r="R27" s="6">
        <f t="shared" si="5"/>
        <v>0</v>
      </c>
      <c r="S27" s="6">
        <f t="shared" si="5"/>
        <v>0</v>
      </c>
      <c r="T27" s="6">
        <f t="shared" si="5"/>
        <v>0</v>
      </c>
      <c r="U27" s="6">
        <f t="shared" si="5"/>
        <v>0</v>
      </c>
      <c r="V27" s="6">
        <f t="shared" si="5"/>
        <v>0</v>
      </c>
      <c r="W27" s="30"/>
      <c r="X27" s="42"/>
      <c r="Y27" s="42"/>
      <c r="Z27" s="42"/>
      <c r="AA27" s="42"/>
      <c r="AB27" s="41"/>
      <c r="AC27" s="41"/>
      <c r="AD27" s="41"/>
      <c r="AE27" s="48"/>
      <c r="AF27" s="35"/>
      <c r="AG27" s="30"/>
      <c r="AH27" s="35"/>
      <c r="AI27" s="35"/>
      <c r="AJ27" s="30"/>
      <c r="AK27" s="30"/>
      <c r="AL27" s="30"/>
      <c r="AM27" s="35"/>
      <c r="AN27" s="35"/>
      <c r="AO27" s="35"/>
      <c r="AP27" s="30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</row>
    <row r="28" spans="2:82" s="3" customFormat="1" ht="24.95" customHeight="1" x14ac:dyDescent="0.25">
      <c r="B28" s="29"/>
      <c r="C28" s="29"/>
      <c r="D28" s="30"/>
      <c r="E28" s="30"/>
      <c r="F28" s="29"/>
      <c r="G28" s="30"/>
      <c r="H28" s="30"/>
      <c r="I28"/>
      <c r="J28" s="27">
        <f>B28+0.1</f>
        <v>0.1</v>
      </c>
      <c r="K28" s="44"/>
      <c r="L28" s="30"/>
      <c r="M28" s="30"/>
      <c r="N28" s="16" t="s">
        <v>33</v>
      </c>
      <c r="O28" s="4"/>
      <c r="P28" s="4"/>
      <c r="Q28" s="4"/>
      <c r="R28" s="4"/>
      <c r="S28" s="4"/>
      <c r="T28" s="4"/>
      <c r="U28" s="4"/>
      <c r="V28" s="4"/>
      <c r="W28" s="34" t="str">
        <f t="shared" ref="W28" si="6">IF(AA28&gt;500,"LV",IF(Y28&gt;500,"Flat","Luma"))</f>
        <v>Luma</v>
      </c>
      <c r="X28" s="34"/>
      <c r="Y28" s="49"/>
      <c r="Z28" s="34">
        <f>X28*Y28/1000</f>
        <v>0</v>
      </c>
      <c r="AA28" s="34">
        <f>IF(AE28&gt;AD28,AR28,0)</f>
        <v>0</v>
      </c>
      <c r="AB28" s="39"/>
      <c r="AC28" s="39"/>
      <c r="AD28" s="39"/>
      <c r="AE28" s="46">
        <f>((AG28-(AH28*10))/10)*_xlfn.XLOOKUP(AI28,$R$2:$AJ$2,$R$3:$AJ$3)+(1-((AG28-(AH28*10))/10))*_xlfn.XLOOKUP(AH28,$R$2:$AJ$2,$R$3:$AJ$3)</f>
        <v>0</v>
      </c>
      <c r="AF28" s="31">
        <f>ROUND(AE28*Z28/1000+AD28*(1-Z28/1000),0)</f>
        <v>0</v>
      </c>
      <c r="AG28" s="34"/>
      <c r="AH28" s="31">
        <f>ROUNDDOWN(AG28/10,0)</f>
        <v>0</v>
      </c>
      <c r="AI28" s="31">
        <f>AH28+1</f>
        <v>1</v>
      </c>
      <c r="AJ28" s="34"/>
      <c r="AK28" s="31">
        <f>IF(AJ28&lt;0,0,IF(AJ28&gt;1000,10,ROUNDDOWN(AJ28/100,0)))</f>
        <v>0</v>
      </c>
      <c r="AL28" s="31">
        <f>IF(AJ28&lt;0,1,IF(AJ28&gt;1000,10,AK28+1))</f>
        <v>1</v>
      </c>
      <c r="AM28" s="34" t="e">
        <f>IF(AJ28&lt;0,INT(AS28+((AT28-AS28)*(AG28-AH28*10)/(AI28*10-AH28*10))),IF(AJ28&gt;1000,(AU28+((AV28-AU28)*(AG28-AH28*10)/(AI28*10-AH28*10))),BA28))</f>
        <v>#VALUE!</v>
      </c>
      <c r="AN28" s="31" t="e">
        <f>IF(AJ28&lt;0,INT(AW28+((AX28-AW28)*(AG28-AH28*10)/(AI28*10-AH28*10))),IF(AJ28&gt;1000,(AY28+((AZ28-AY28)*(AG28-AH28*10)/(AI28*10-AH28*10))),BB28))</f>
        <v>#VALUE!</v>
      </c>
      <c r="AO28" s="31"/>
      <c r="AP28" s="31"/>
      <c r="AR28" s="28"/>
      <c r="AS28" s="28" t="e">
        <f>HLOOKUP(AH28,$AQ$6:$BJ$17,AK28+2,FALSE)</f>
        <v>#VALUE!</v>
      </c>
      <c r="AT28" s="28" t="e">
        <f>HLOOKUP(AI28,$AQ$6:$BJ$17,AK28+2,FALSE)</f>
        <v>#VALUE!</v>
      </c>
      <c r="AU28" s="28" t="e">
        <f>HLOOKUP(AH28,$AQ$6:$BJ$17,AL28+2,FALSE)</f>
        <v>#VALUE!</v>
      </c>
      <c r="AV28" s="28" t="e">
        <f>VLOOKUP(AL28,$AQ$6:$BJ$17,AI28+2,FALSE)</f>
        <v>#VALUE!</v>
      </c>
      <c r="AW28" s="28" t="e">
        <f>HLOOKUP(AH28,$BK$6:$CD$17,AK28+2,FALSE)</f>
        <v>#VALUE!</v>
      </c>
      <c r="AX28" s="28" t="e">
        <f>HLOOKUP(AI28,$BK$6:$CD$17,AK28+2,FALSE)</f>
        <v>#VALUE!</v>
      </c>
      <c r="AY28" s="28" t="e">
        <f>HLOOKUP(AH28,$BK$6:$CD$17,AL28+2,FALSE)</f>
        <v>#VALUE!</v>
      </c>
      <c r="AZ28" s="28" t="e">
        <f>HLOOKUP(AI28,$BK$6:$CD$17,AL28+2,FALSE)</f>
        <v>#VALUE!</v>
      </c>
      <c r="BA28" s="28" t="e">
        <f>INT((AS28+((AT28-AS28)*(AG28-AH28*10)/(AI28*10-AH28*10)))+(((AU28+((AV28-AU28)*(AG28-AH28*10)/(AJ28*10-AH28*10)))-(AS28+((AT28-AS28)*(AG28-AH28*10)/(AI28*10-AH28*10))))*(AJ28-AK28*100)/(AL28*100-AK28*100)))</f>
        <v>#VALUE!</v>
      </c>
      <c r="BB28" s="28" t="e">
        <f>INT((AW28+((AX28-AW28)*(AG28-AH28*10)/(AI28*10-AH28*10)))+(((AY28+((AZ28-AY28)*(AG28-AH28*10)/(AJ28*10-AH28*10)))-(AW28+((AX28-AW28)*(AG28-AH28*10)/(AI28*10-AH28*10))))*(AJ28-AK28*100)/(AL28*100-AK28*100)))</f>
        <v>#VALUE!</v>
      </c>
      <c r="BC28" s="28">
        <f>IF(AG28-50&lt;$D$15,$D$15,AG28-50)</f>
        <v>0</v>
      </c>
      <c r="BD28" s="28" t="e">
        <f>_xlfn.XLOOKUP(BC28,$D$15:$H$15,$D$15:$H$15,,-1)</f>
        <v>#N/A</v>
      </c>
      <c r="BE28" s="28">
        <f>_xlfn.XLOOKUP(BC28,$D$15:$H$15,$D$15:$H$15,,1)</f>
        <v>0</v>
      </c>
      <c r="BF28" s="28" t="e">
        <f>_xlfn.XLOOKUP(BC28,$D$15:$H$15,$D$16:$H$16,,-1)</f>
        <v>#N/A</v>
      </c>
      <c r="BG28" s="28">
        <f>_xlfn.XLOOKUP(BC28,$D$15:$H$15,$D$16:$H$16,,1)</f>
        <v>0</v>
      </c>
      <c r="BH28" s="28" t="e">
        <f>_xlfn.XLOOKUP(BC28,$D$15:$H$15,$D$17:$H$17,,-1)</f>
        <v>#N/A</v>
      </c>
      <c r="BI28" s="28">
        <f>_xlfn.XLOOKUP(BC28,$D$15:$H$15,$D$17:$H$17,,1)</f>
        <v>0</v>
      </c>
      <c r="BJ28" s="28" t="e">
        <f>IF(BD28=BE28,BF28,(((BC28-BD28)/(BE28-BD28))*BG28+(1-((BC28-BD28)/(BE28-BD28)))*BF28))</f>
        <v>#N/A</v>
      </c>
      <c r="BK28" s="28" t="e">
        <f>IF(BD28=BE28,BH28,(((BC28-BD28)/(BE28-BD28))*BI28+(1-((BC28-BD28)/(BE28-BD28)))*BH28))</f>
        <v>#N/A</v>
      </c>
    </row>
    <row r="29" spans="2:82" s="3" customFormat="1" ht="24.95" customHeight="1" x14ac:dyDescent="0.25">
      <c r="B29" s="30"/>
      <c r="C29" s="30"/>
      <c r="D29" s="29"/>
      <c r="E29" s="30"/>
      <c r="F29" s="30"/>
      <c r="G29" s="29"/>
      <c r="H29" s="30"/>
      <c r="I29"/>
      <c r="J29" s="27">
        <f>B28+0.2</f>
        <v>0.2</v>
      </c>
      <c r="K29" s="30"/>
      <c r="L29" s="29"/>
      <c r="M29" s="30"/>
      <c r="N29" s="16" t="s">
        <v>34</v>
      </c>
      <c r="O29" s="4"/>
      <c r="P29" s="4"/>
      <c r="Q29" s="4"/>
      <c r="R29" s="4"/>
      <c r="S29" s="4"/>
      <c r="T29" s="4"/>
      <c r="U29" s="4"/>
      <c r="V29" s="4"/>
      <c r="W29" s="30"/>
      <c r="X29" s="34"/>
      <c r="Y29" s="49"/>
      <c r="Z29" s="34"/>
      <c r="AA29" s="34"/>
      <c r="AB29" s="40"/>
      <c r="AC29" s="40"/>
      <c r="AD29" s="40"/>
      <c r="AE29" s="47"/>
      <c r="AF29" s="43"/>
      <c r="AG29" s="30"/>
      <c r="AH29" s="43"/>
      <c r="AI29" s="43"/>
      <c r="AJ29" s="30"/>
      <c r="AK29" s="30"/>
      <c r="AL29" s="30"/>
      <c r="AM29" s="43"/>
      <c r="AN29" s="43"/>
      <c r="AO29" s="43"/>
      <c r="AP29" s="30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</row>
    <row r="30" spans="2:82" s="3" customFormat="1" ht="24.95" customHeight="1" x14ac:dyDescent="0.25">
      <c r="B30" s="30"/>
      <c r="C30" s="30"/>
      <c r="D30" s="29"/>
      <c r="E30" s="30"/>
      <c r="F30" s="30"/>
      <c r="G30" s="29"/>
      <c r="H30" s="30"/>
      <c r="I30"/>
      <c r="J30" s="27">
        <f>B28+0.3</f>
        <v>0.3</v>
      </c>
      <c r="K30" s="30"/>
      <c r="L30" s="29"/>
      <c r="M30" s="30"/>
      <c r="N30" s="16" t="s">
        <v>35</v>
      </c>
      <c r="O30" s="6">
        <f>O29-O28</f>
        <v>0</v>
      </c>
      <c r="P30" s="6">
        <f t="shared" ref="P30" si="7">P29-P28</f>
        <v>0</v>
      </c>
      <c r="Q30" s="6">
        <f t="shared" ref="Q30" si="8">Q29-Q28</f>
        <v>0</v>
      </c>
      <c r="R30" s="6">
        <f t="shared" ref="R30" si="9">R29-R28</f>
        <v>0</v>
      </c>
      <c r="S30" s="6">
        <f t="shared" ref="S30" si="10">S29-S28</f>
        <v>0</v>
      </c>
      <c r="T30" s="6">
        <f t="shared" ref="T30" si="11">T29-T28</f>
        <v>0</v>
      </c>
      <c r="U30" s="6">
        <f t="shared" ref="U30" si="12">U29-U28</f>
        <v>0</v>
      </c>
      <c r="V30" s="6">
        <f t="shared" ref="V30" si="13">V29-V28</f>
        <v>0</v>
      </c>
      <c r="W30" s="30"/>
      <c r="X30" s="34"/>
      <c r="Y30" s="49"/>
      <c r="Z30" s="34"/>
      <c r="AA30" s="34"/>
      <c r="AB30" s="40"/>
      <c r="AC30" s="40"/>
      <c r="AD30" s="40"/>
      <c r="AE30" s="47"/>
      <c r="AF30" s="43"/>
      <c r="AG30" s="30"/>
      <c r="AH30" s="43"/>
      <c r="AI30" s="43"/>
      <c r="AJ30" s="30"/>
      <c r="AK30" s="30"/>
      <c r="AL30" s="30"/>
      <c r="AM30" s="43"/>
      <c r="AN30" s="43"/>
      <c r="AO30" s="43"/>
      <c r="AP30" s="30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</row>
    <row r="31" spans="2:82" s="3" customFormat="1" ht="24.95" customHeight="1" x14ac:dyDescent="0.25">
      <c r="B31" s="30"/>
      <c r="C31" s="30"/>
      <c r="D31" s="29"/>
      <c r="E31" s="30"/>
      <c r="F31" s="30"/>
      <c r="G31" s="29"/>
      <c r="H31" s="30"/>
      <c r="I31"/>
      <c r="J31" s="27">
        <f>B28+0.4</f>
        <v>0.4</v>
      </c>
      <c r="K31" s="30"/>
      <c r="L31" s="29"/>
      <c r="M31" s="30"/>
      <c r="N31" s="16" t="s">
        <v>37</v>
      </c>
      <c r="O31" s="6"/>
      <c r="P31" s="6"/>
      <c r="Q31" s="6"/>
      <c r="R31" s="6"/>
      <c r="S31" s="6"/>
      <c r="T31" s="6"/>
      <c r="U31" s="6"/>
      <c r="V31" s="6"/>
      <c r="W31" s="30"/>
      <c r="X31" s="42">
        <f>1-Y31-AA31</f>
        <v>1</v>
      </c>
      <c r="Y31" s="42">
        <f>Y28/1000*(1-AA28/1000)</f>
        <v>0</v>
      </c>
      <c r="Z31" s="42">
        <f>X31+Y31</f>
        <v>1</v>
      </c>
      <c r="AA31" s="42">
        <f>AA28/1000</f>
        <v>0</v>
      </c>
      <c r="AB31" s="40"/>
      <c r="AC31" s="40"/>
      <c r="AD31" s="40"/>
      <c r="AE31" s="47"/>
      <c r="AF31" s="43"/>
      <c r="AG31" s="30"/>
      <c r="AH31" s="43"/>
      <c r="AI31" s="43"/>
      <c r="AJ31" s="30"/>
      <c r="AK31" s="30"/>
      <c r="AL31" s="30"/>
      <c r="AM31" s="43"/>
      <c r="AN31" s="43"/>
      <c r="AO31" s="43"/>
      <c r="AP31" s="30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</row>
    <row r="32" spans="2:82" s="3" customFormat="1" ht="24.95" customHeight="1" x14ac:dyDescent="0.25">
      <c r="B32" s="30"/>
      <c r="C32" s="30"/>
      <c r="D32" s="29"/>
      <c r="E32" s="30"/>
      <c r="F32" s="30"/>
      <c r="G32" s="29"/>
      <c r="H32" s="30"/>
      <c r="I32"/>
      <c r="J32" s="27">
        <f>B28+0.5</f>
        <v>0.5</v>
      </c>
      <c r="K32" s="30"/>
      <c r="L32" s="29"/>
      <c r="M32" s="30"/>
      <c r="N32" s="16" t="s">
        <v>36</v>
      </c>
      <c r="O32" s="6">
        <f>O31-O28</f>
        <v>0</v>
      </c>
      <c r="P32" s="6">
        <f t="shared" ref="P32" si="14">P31-P28</f>
        <v>0</v>
      </c>
      <c r="Q32" s="6">
        <f t="shared" ref="Q32" si="15">Q31-Q28</f>
        <v>0</v>
      </c>
      <c r="R32" s="6">
        <f t="shared" ref="R32" si="16">R31-R28</f>
        <v>0</v>
      </c>
      <c r="S32" s="6">
        <f t="shared" ref="S32" si="17">S31-S28</f>
        <v>0</v>
      </c>
      <c r="T32" s="6">
        <f t="shared" ref="T32" si="18">T31-T28</f>
        <v>0</v>
      </c>
      <c r="U32" s="6">
        <f t="shared" ref="U32" si="19">U31-U28</f>
        <v>0</v>
      </c>
      <c r="V32" s="6">
        <f t="shared" ref="V32" si="20">V31-V28</f>
        <v>0</v>
      </c>
      <c r="W32" s="30"/>
      <c r="X32" s="42"/>
      <c r="Y32" s="42"/>
      <c r="Z32" s="42"/>
      <c r="AA32" s="42"/>
      <c r="AB32" s="41"/>
      <c r="AC32" s="41"/>
      <c r="AD32" s="41"/>
      <c r="AE32" s="48"/>
      <c r="AF32" s="35"/>
      <c r="AG32" s="30"/>
      <c r="AH32" s="35"/>
      <c r="AI32" s="35"/>
      <c r="AJ32" s="30"/>
      <c r="AK32" s="30"/>
      <c r="AL32" s="30"/>
      <c r="AM32" s="35"/>
      <c r="AN32" s="35"/>
      <c r="AO32" s="35"/>
      <c r="AP32" s="30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</row>
    <row r="33" spans="2:63" s="3" customFormat="1" ht="24.95" customHeight="1" x14ac:dyDescent="0.25">
      <c r="B33" s="29"/>
      <c r="C33" s="29"/>
      <c r="D33" s="30"/>
      <c r="E33" s="30"/>
      <c r="F33" s="29"/>
      <c r="G33" s="30"/>
      <c r="H33" s="30"/>
      <c r="I33"/>
      <c r="J33" s="27">
        <f>B33+0.1</f>
        <v>0.1</v>
      </c>
      <c r="K33" s="44"/>
      <c r="L33" s="30"/>
      <c r="M33" s="30"/>
      <c r="N33" s="16" t="s">
        <v>33</v>
      </c>
      <c r="O33" s="4"/>
      <c r="P33" s="4"/>
      <c r="Q33" s="4"/>
      <c r="R33" s="4"/>
      <c r="S33" s="4"/>
      <c r="T33" s="4"/>
      <c r="U33" s="4"/>
      <c r="V33" s="4"/>
      <c r="W33" s="34" t="str">
        <f t="shared" ref="W33" si="21">IF(AA33&gt;500,"LV",IF(Y33&gt;500,"Flat","Luma"))</f>
        <v>Luma</v>
      </c>
      <c r="X33" s="34"/>
      <c r="Y33" s="49"/>
      <c r="Z33" s="34">
        <f>X33*Y33/1000</f>
        <v>0</v>
      </c>
      <c r="AA33" s="34">
        <f>IF(AE33&gt;AD33,AR33,0)</f>
        <v>0</v>
      </c>
      <c r="AB33" s="39"/>
      <c r="AC33" s="39"/>
      <c r="AD33" s="39"/>
      <c r="AE33" s="46">
        <f>((AG33-(AH33*10))/10)*_xlfn.XLOOKUP(AI33,$R$2:$AJ$2,$R$3:$AJ$3)+(1-((AG33-(AH33*10))/10))*_xlfn.XLOOKUP(AH33,$R$2:$AJ$2,$R$3:$AJ$3)</f>
        <v>0</v>
      </c>
      <c r="AF33" s="31">
        <f>ROUND(AE33*Z33/1000+AD33*(1-Z33/1000),0)</f>
        <v>0</v>
      </c>
      <c r="AG33" s="34"/>
      <c r="AH33" s="31">
        <f>ROUNDDOWN(AG33/10,0)</f>
        <v>0</v>
      </c>
      <c r="AI33" s="31">
        <f>AH33+1</f>
        <v>1</v>
      </c>
      <c r="AJ33" s="34"/>
      <c r="AK33" s="31">
        <f>IF(AJ33&lt;0,0,IF(AJ33&gt;1000,10,ROUNDDOWN(AJ33/100,0)))</f>
        <v>0</v>
      </c>
      <c r="AL33" s="31">
        <f>IF(AJ33&lt;0,1,IF(AJ33&gt;1000,10,AK33+1))</f>
        <v>1</v>
      </c>
      <c r="AM33" s="34" t="e">
        <f>IF(AJ33&lt;0,INT(AS33+((AT33-AS33)*(AG33-AH33*10)/(AI33*10-AH33*10))),IF(AJ33&gt;1000,(AU33+((AV33-AU33)*(AG33-AH33*10)/(AI33*10-AH33*10))),BA33))</f>
        <v>#VALUE!</v>
      </c>
      <c r="AN33" s="31" t="e">
        <f>IF(AJ33&lt;0,INT(AW33+((AX33-AW33)*(AG33-AH33*10)/(AI33*10-AH33*10))),IF(AJ33&gt;1000,(AY33+((AZ33-AY33)*(AG33-AH33*10)/(AI33*10-AH33*10))),BB33))</f>
        <v>#VALUE!</v>
      </c>
      <c r="AO33" s="31"/>
      <c r="AP33" s="31"/>
      <c r="AR33" s="28"/>
      <c r="AS33" s="28" t="e">
        <f>HLOOKUP(AH33,$AQ$6:$BJ$17,AK33+2,FALSE)</f>
        <v>#VALUE!</v>
      </c>
      <c r="AT33" s="28" t="e">
        <f>HLOOKUP(AI33,$AQ$6:$BJ$17,AK33+2,FALSE)</f>
        <v>#VALUE!</v>
      </c>
      <c r="AU33" s="28" t="e">
        <f>HLOOKUP(AH33,$AQ$6:$BJ$17,AL33+2,FALSE)</f>
        <v>#VALUE!</v>
      </c>
      <c r="AV33" s="28" t="e">
        <f>VLOOKUP(AL33,$AQ$6:$BJ$17,AI33+2,FALSE)</f>
        <v>#VALUE!</v>
      </c>
      <c r="AW33" s="28" t="e">
        <f>HLOOKUP(AH33,$BK$6:$CD$17,AK33+2,FALSE)</f>
        <v>#VALUE!</v>
      </c>
      <c r="AX33" s="28" t="e">
        <f>HLOOKUP(AI33,$BK$6:$CD$17,AK33+2,FALSE)</f>
        <v>#VALUE!</v>
      </c>
      <c r="AY33" s="28" t="e">
        <f>HLOOKUP(AH33,$BK$6:$CD$17,AL33+2,FALSE)</f>
        <v>#VALUE!</v>
      </c>
      <c r="AZ33" s="28" t="e">
        <f>HLOOKUP(AI33,$BK$6:$CD$17,AL33+2,FALSE)</f>
        <v>#VALUE!</v>
      </c>
      <c r="BA33" s="28" t="e">
        <f>INT((AS33+((AT33-AS33)*(AG33-AH33*10)/(AI33*10-AH33*10)))+(((AU33+((AV33-AU33)*(AG33-AH33*10)/(AJ33*10-AH33*10)))-(AS33+((AT33-AS33)*(AG33-AH33*10)/(AI33*10-AH33*10))))*(AJ33-AK33*100)/(AL33*100-AK33*100)))</f>
        <v>#VALUE!</v>
      </c>
      <c r="BB33" s="28" t="e">
        <f>INT((AW33+((AX33-AW33)*(AG33-AH33*10)/(AI33*10-AH33*10)))+(((AY33+((AZ33-AY33)*(AG33-AH33*10)/(AJ33*10-AH33*10)))-(AW33+((AX33-AW33)*(AG33-AH33*10)/(AI33*10-AH33*10))))*(AJ33-AK33*100)/(AL33*100-AK33*100)))</f>
        <v>#VALUE!</v>
      </c>
      <c r="BC33" s="28">
        <f>IF(AG33-50&lt;$D$15,$D$15,AG33-50)</f>
        <v>0</v>
      </c>
      <c r="BD33" s="28" t="e">
        <f>_xlfn.XLOOKUP(BC33,$D$15:$H$15,$D$15:$H$15,,-1)</f>
        <v>#N/A</v>
      </c>
      <c r="BE33" s="28">
        <f>_xlfn.XLOOKUP(BC33,$D$15:$H$15,$D$15:$H$15,,1)</f>
        <v>0</v>
      </c>
      <c r="BF33" s="28" t="e">
        <f>_xlfn.XLOOKUP(BC33,$D$15:$H$15,$D$16:$H$16,,-1)</f>
        <v>#N/A</v>
      </c>
      <c r="BG33" s="28">
        <f>_xlfn.XLOOKUP(BC33,$D$15:$H$15,$D$16:$H$16,,1)</f>
        <v>0</v>
      </c>
      <c r="BH33" s="28" t="e">
        <f>_xlfn.XLOOKUP(BC33,$D$15:$H$15,$D$17:$H$17,,-1)</f>
        <v>#N/A</v>
      </c>
      <c r="BI33" s="28">
        <f>_xlfn.XLOOKUP(BC33,$D$15:$H$15,$D$17:$H$17,,1)</f>
        <v>0</v>
      </c>
      <c r="BJ33" s="28" t="e">
        <f>IF(BD33=BE33,BF33,(((BC33-BD33)/(BE33-BD33))*BG33+(1-((BC33-BD33)/(BE33-BD33)))*BF33))</f>
        <v>#N/A</v>
      </c>
      <c r="BK33" s="28" t="e">
        <f>IF(BD33=BE33,BH33,(((BC33-BD33)/(BE33-BD33))*BI33+(1-((BC33-BD33)/(BE33-BD33)))*BH33))</f>
        <v>#N/A</v>
      </c>
    </row>
    <row r="34" spans="2:63" s="3" customFormat="1" ht="24.95" customHeight="1" x14ac:dyDescent="0.25">
      <c r="B34" s="30"/>
      <c r="C34" s="30"/>
      <c r="D34" s="29"/>
      <c r="E34" s="30"/>
      <c r="F34" s="30"/>
      <c r="G34" s="29"/>
      <c r="H34" s="30"/>
      <c r="I34"/>
      <c r="J34" s="27">
        <f>B33+0.2</f>
        <v>0.2</v>
      </c>
      <c r="K34" s="30"/>
      <c r="L34" s="29"/>
      <c r="M34" s="30"/>
      <c r="N34" s="16" t="s">
        <v>34</v>
      </c>
      <c r="O34" s="4"/>
      <c r="P34" s="4"/>
      <c r="Q34" s="4"/>
      <c r="R34" s="4"/>
      <c r="S34" s="4"/>
      <c r="T34" s="4"/>
      <c r="U34" s="4"/>
      <c r="V34" s="4"/>
      <c r="W34" s="30"/>
      <c r="X34" s="34"/>
      <c r="Y34" s="49"/>
      <c r="Z34" s="34"/>
      <c r="AA34" s="34"/>
      <c r="AB34" s="40"/>
      <c r="AC34" s="40"/>
      <c r="AD34" s="40"/>
      <c r="AE34" s="47"/>
      <c r="AF34" s="43"/>
      <c r="AG34" s="30"/>
      <c r="AH34" s="43"/>
      <c r="AI34" s="43"/>
      <c r="AJ34" s="30"/>
      <c r="AK34" s="30"/>
      <c r="AL34" s="30"/>
      <c r="AM34" s="43"/>
      <c r="AN34" s="43"/>
      <c r="AO34" s="43"/>
      <c r="AP34" s="30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</row>
    <row r="35" spans="2:63" s="3" customFormat="1" ht="24.95" customHeight="1" x14ac:dyDescent="0.25">
      <c r="B35" s="30"/>
      <c r="C35" s="30"/>
      <c r="D35" s="29"/>
      <c r="E35" s="30"/>
      <c r="F35" s="30"/>
      <c r="G35" s="29"/>
      <c r="H35" s="30"/>
      <c r="I35"/>
      <c r="J35" s="27">
        <f>B33+0.3</f>
        <v>0.3</v>
      </c>
      <c r="K35" s="30"/>
      <c r="L35" s="29"/>
      <c r="M35" s="30"/>
      <c r="N35" s="16" t="s">
        <v>35</v>
      </c>
      <c r="O35" s="6">
        <f>O34-O33</f>
        <v>0</v>
      </c>
      <c r="P35" s="6">
        <f t="shared" ref="P35" si="22">P34-P33</f>
        <v>0</v>
      </c>
      <c r="Q35" s="6">
        <f t="shared" ref="Q35" si="23">Q34-Q33</f>
        <v>0</v>
      </c>
      <c r="R35" s="6">
        <f t="shared" ref="R35" si="24">R34-R33</f>
        <v>0</v>
      </c>
      <c r="S35" s="6">
        <f t="shared" ref="S35" si="25">S34-S33</f>
        <v>0</v>
      </c>
      <c r="T35" s="6">
        <f t="shared" ref="T35" si="26">T34-T33</f>
        <v>0</v>
      </c>
      <c r="U35" s="6">
        <f t="shared" ref="U35" si="27">U34-U33</f>
        <v>0</v>
      </c>
      <c r="V35" s="6">
        <f t="shared" ref="V35" si="28">V34-V33</f>
        <v>0</v>
      </c>
      <c r="W35" s="30"/>
      <c r="X35" s="34"/>
      <c r="Y35" s="49"/>
      <c r="Z35" s="34"/>
      <c r="AA35" s="34"/>
      <c r="AB35" s="40"/>
      <c r="AC35" s="40"/>
      <c r="AD35" s="40"/>
      <c r="AE35" s="47"/>
      <c r="AF35" s="43"/>
      <c r="AG35" s="30"/>
      <c r="AH35" s="43"/>
      <c r="AI35" s="43"/>
      <c r="AJ35" s="30"/>
      <c r="AK35" s="30"/>
      <c r="AL35" s="30"/>
      <c r="AM35" s="43"/>
      <c r="AN35" s="43"/>
      <c r="AO35" s="43"/>
      <c r="AP35" s="30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</row>
    <row r="36" spans="2:63" s="3" customFormat="1" ht="24.95" customHeight="1" x14ac:dyDescent="0.25">
      <c r="B36" s="30"/>
      <c r="C36" s="30"/>
      <c r="D36" s="29"/>
      <c r="E36" s="30"/>
      <c r="F36" s="30"/>
      <c r="G36" s="29"/>
      <c r="H36" s="30"/>
      <c r="I36"/>
      <c r="J36" s="27">
        <f>B33+0.4</f>
        <v>0.4</v>
      </c>
      <c r="K36" s="30"/>
      <c r="L36" s="29"/>
      <c r="M36" s="30"/>
      <c r="N36" s="16" t="s">
        <v>37</v>
      </c>
      <c r="O36" s="6"/>
      <c r="P36" s="6"/>
      <c r="Q36" s="6"/>
      <c r="R36" s="6"/>
      <c r="S36" s="6"/>
      <c r="T36" s="6"/>
      <c r="U36" s="6"/>
      <c r="V36" s="6"/>
      <c r="W36" s="30"/>
      <c r="X36" s="42">
        <f>1-Y36-AA36</f>
        <v>1</v>
      </c>
      <c r="Y36" s="42">
        <f>Y33/1000*(1-AA33/1000)</f>
        <v>0</v>
      </c>
      <c r="Z36" s="42">
        <f>X36+Y36</f>
        <v>1</v>
      </c>
      <c r="AA36" s="42">
        <f>AA33/1000</f>
        <v>0</v>
      </c>
      <c r="AB36" s="40"/>
      <c r="AC36" s="40"/>
      <c r="AD36" s="40"/>
      <c r="AE36" s="47"/>
      <c r="AF36" s="43"/>
      <c r="AG36" s="30"/>
      <c r="AH36" s="43"/>
      <c r="AI36" s="43"/>
      <c r="AJ36" s="30"/>
      <c r="AK36" s="30"/>
      <c r="AL36" s="30"/>
      <c r="AM36" s="43"/>
      <c r="AN36" s="43"/>
      <c r="AO36" s="43"/>
      <c r="AP36" s="30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</row>
    <row r="37" spans="2:63" s="3" customFormat="1" ht="24.95" customHeight="1" x14ac:dyDescent="0.25">
      <c r="B37" s="30"/>
      <c r="C37" s="30"/>
      <c r="D37" s="29"/>
      <c r="E37" s="30"/>
      <c r="F37" s="30"/>
      <c r="G37" s="29"/>
      <c r="H37" s="30"/>
      <c r="I37"/>
      <c r="J37" s="27">
        <f>B33+0.5</f>
        <v>0.5</v>
      </c>
      <c r="K37" s="30"/>
      <c r="L37" s="29"/>
      <c r="M37" s="30"/>
      <c r="N37" s="16" t="s">
        <v>36</v>
      </c>
      <c r="O37" s="6">
        <f>O36-O33</f>
        <v>0</v>
      </c>
      <c r="P37" s="6">
        <f t="shared" ref="P37" si="29">P36-P33</f>
        <v>0</v>
      </c>
      <c r="Q37" s="6">
        <f t="shared" ref="Q37" si="30">Q36-Q33</f>
        <v>0</v>
      </c>
      <c r="R37" s="6">
        <f t="shared" ref="R37" si="31">R36-R33</f>
        <v>0</v>
      </c>
      <c r="S37" s="6">
        <f t="shared" ref="S37" si="32">S36-S33</f>
        <v>0</v>
      </c>
      <c r="T37" s="6">
        <f t="shared" ref="T37" si="33">T36-T33</f>
        <v>0</v>
      </c>
      <c r="U37" s="6">
        <f t="shared" ref="U37" si="34">U36-U33</f>
        <v>0</v>
      </c>
      <c r="V37" s="6">
        <f t="shared" ref="V37" si="35">V36-V33</f>
        <v>0</v>
      </c>
      <c r="W37" s="30"/>
      <c r="X37" s="42"/>
      <c r="Y37" s="42"/>
      <c r="Z37" s="42"/>
      <c r="AA37" s="42"/>
      <c r="AB37" s="41"/>
      <c r="AC37" s="41"/>
      <c r="AD37" s="41"/>
      <c r="AE37" s="48"/>
      <c r="AF37" s="35"/>
      <c r="AG37" s="30"/>
      <c r="AH37" s="35"/>
      <c r="AI37" s="35"/>
      <c r="AJ37" s="30"/>
      <c r="AK37" s="30"/>
      <c r="AL37" s="30"/>
      <c r="AM37" s="35"/>
      <c r="AN37" s="35"/>
      <c r="AO37" s="35"/>
      <c r="AP37" s="30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</row>
    <row r="38" spans="2:63" s="3" customFormat="1" ht="24.95" customHeight="1" x14ac:dyDescent="0.25">
      <c r="B38" s="29"/>
      <c r="C38" s="29"/>
      <c r="D38" s="30"/>
      <c r="E38" s="30"/>
      <c r="F38" s="29"/>
      <c r="G38" s="30"/>
      <c r="H38" s="30"/>
      <c r="I38"/>
      <c r="J38" s="27">
        <f>B38+0.1</f>
        <v>0.1</v>
      </c>
      <c r="K38" s="44"/>
      <c r="L38" s="30"/>
      <c r="M38" s="30"/>
      <c r="N38" s="16" t="s">
        <v>33</v>
      </c>
      <c r="O38" s="4"/>
      <c r="P38" s="4"/>
      <c r="Q38" s="4"/>
      <c r="R38" s="4"/>
      <c r="S38" s="4"/>
      <c r="T38" s="4"/>
      <c r="U38" s="4"/>
      <c r="V38" s="4"/>
      <c r="W38" s="34" t="str">
        <f t="shared" ref="W38" si="36">IF(AA38&gt;500,"LV",IF(Y38&gt;500,"Flat","Luma"))</f>
        <v>Luma</v>
      </c>
      <c r="X38" s="34"/>
      <c r="Y38" s="49"/>
      <c r="Z38" s="34">
        <f>X38*Y38/1000</f>
        <v>0</v>
      </c>
      <c r="AA38" s="34">
        <f>IF(AE38&gt;AD38,AR38,0)</f>
        <v>0</v>
      </c>
      <c r="AB38" s="39"/>
      <c r="AC38" s="39"/>
      <c r="AD38" s="39"/>
      <c r="AE38" s="46">
        <f>((AG38-(AH38*10))/10)*_xlfn.XLOOKUP(AI38,$R$2:$AJ$2,$R$3:$AJ$3)+(1-((AG38-(AH38*10))/10))*_xlfn.XLOOKUP(AH38,$R$2:$AJ$2,$R$3:$AJ$3)</f>
        <v>0</v>
      </c>
      <c r="AF38" s="31">
        <f>ROUND(AE38*Z38/1000+AD38*(1-Z38/1000),0)</f>
        <v>0</v>
      </c>
      <c r="AG38" s="34"/>
      <c r="AH38" s="31">
        <f>ROUNDDOWN(AG38/10,0)</f>
        <v>0</v>
      </c>
      <c r="AI38" s="31">
        <f>AH38+1</f>
        <v>1</v>
      </c>
      <c r="AJ38" s="34"/>
      <c r="AK38" s="31">
        <f>IF(AJ38&lt;0,0,IF(AJ38&gt;1000,10,ROUNDDOWN(AJ38/100,0)))</f>
        <v>0</v>
      </c>
      <c r="AL38" s="31">
        <f>IF(AJ38&lt;0,1,IF(AJ38&gt;1000,10,AK38+1))</f>
        <v>1</v>
      </c>
      <c r="AM38" s="34" t="e">
        <f>IF(AJ38&lt;0,INT(AS38+((AT38-AS38)*(AG38-AH38*10)/(AI38*10-AH38*10))),IF(AJ38&gt;1000,(AU38+((AV38-AU38)*(AG38-AH38*10)/(AI38*10-AH38*10))),BA38))</f>
        <v>#VALUE!</v>
      </c>
      <c r="AN38" s="31" t="e">
        <f>IF(AJ38&lt;0,INT(AW38+((AX38-AW38)*(AG38-AH38*10)/(AI38*10-AH38*10))),IF(AJ38&gt;1000,(AY38+((AZ38-AY38)*(AG38-AH38*10)/(AI38*10-AH38*10))),BB38))</f>
        <v>#VALUE!</v>
      </c>
      <c r="AO38" s="31"/>
      <c r="AP38" s="31"/>
      <c r="AR38" s="28"/>
      <c r="AS38" s="28" t="e">
        <f>HLOOKUP(AH38,$AQ$6:$BJ$17,AK38+2,FALSE)</f>
        <v>#VALUE!</v>
      </c>
      <c r="AT38" s="28" t="e">
        <f>HLOOKUP(AI38,$AQ$6:$BJ$17,AK38+2,FALSE)</f>
        <v>#VALUE!</v>
      </c>
      <c r="AU38" s="28" t="e">
        <f>HLOOKUP(AH38,$AQ$6:$BJ$17,AL38+2,FALSE)</f>
        <v>#VALUE!</v>
      </c>
      <c r="AV38" s="28" t="e">
        <f>VLOOKUP(AL38,$AQ$6:$BJ$17,AI38+2,FALSE)</f>
        <v>#VALUE!</v>
      </c>
      <c r="AW38" s="28" t="e">
        <f>HLOOKUP(AH38,$BK$6:$CD$17,AK38+2,FALSE)</f>
        <v>#VALUE!</v>
      </c>
      <c r="AX38" s="28" t="e">
        <f>HLOOKUP(AI38,$BK$6:$CD$17,AK38+2,FALSE)</f>
        <v>#VALUE!</v>
      </c>
      <c r="AY38" s="28" t="e">
        <f>HLOOKUP(AH38,$BK$6:$CD$17,AL38+2,FALSE)</f>
        <v>#VALUE!</v>
      </c>
      <c r="AZ38" s="28" t="e">
        <f>HLOOKUP(AI38,$BK$6:$CD$17,AL38+2,FALSE)</f>
        <v>#VALUE!</v>
      </c>
      <c r="BA38" s="28" t="e">
        <f>INT((AS38+((AT38-AS38)*(AG38-AH38*10)/(AI38*10-AH38*10)))+(((AU38+((AV38-AU38)*(AG38-AH38*10)/(AJ38*10-AH38*10)))-(AS38+((AT38-AS38)*(AG38-AH38*10)/(AI38*10-AH38*10))))*(AJ38-AK38*100)/(AL38*100-AK38*100)))</f>
        <v>#VALUE!</v>
      </c>
      <c r="BB38" s="28" t="e">
        <f>INT((AW38+((AX38-AW38)*(AG38-AH38*10)/(AI38*10-AH38*10)))+(((AY38+((AZ38-AY38)*(AG38-AH38*10)/(AJ38*10-AH38*10)))-(AW38+((AX38-AW38)*(AG38-AH38*10)/(AI38*10-AH38*10))))*(AJ38-AK38*100)/(AL38*100-AK38*100)))</f>
        <v>#VALUE!</v>
      </c>
      <c r="BC38" s="28">
        <f>IF(AG38-50&lt;$D$15,$D$15,AG38-50)</f>
        <v>0</v>
      </c>
      <c r="BD38" s="28" t="e">
        <f>_xlfn.XLOOKUP(BC38,$D$15:$H$15,$D$15:$H$15,,-1)</f>
        <v>#N/A</v>
      </c>
      <c r="BE38" s="28">
        <f>_xlfn.XLOOKUP(BC38,$D$15:$H$15,$D$15:$H$15,,1)</f>
        <v>0</v>
      </c>
      <c r="BF38" s="28" t="e">
        <f>_xlfn.XLOOKUP(BC38,$D$15:$H$15,$D$16:$H$16,,-1)</f>
        <v>#N/A</v>
      </c>
      <c r="BG38" s="28">
        <f>_xlfn.XLOOKUP(BC38,$D$15:$H$15,$D$16:$H$16,,1)</f>
        <v>0</v>
      </c>
      <c r="BH38" s="28" t="e">
        <f>_xlfn.XLOOKUP(BC38,$D$15:$H$15,$D$17:$H$17,,-1)</f>
        <v>#N/A</v>
      </c>
      <c r="BI38" s="28">
        <f>_xlfn.XLOOKUP(BC38,$D$15:$H$15,$D$17:$H$17,,1)</f>
        <v>0</v>
      </c>
      <c r="BJ38" s="28" t="e">
        <f>IF(BD38=BE38,BF38,(((BC38-BD38)/(BE38-BD38))*BG38+(1-((BC38-BD38)/(BE38-BD38)))*BF38))</f>
        <v>#N/A</v>
      </c>
      <c r="BK38" s="28" t="e">
        <f>IF(BD38=BE38,BH38,(((BC38-BD38)/(BE38-BD38))*BI38+(1-((BC38-BD38)/(BE38-BD38)))*BH38))</f>
        <v>#N/A</v>
      </c>
    </row>
    <row r="39" spans="2:63" s="3" customFormat="1" ht="24.95" customHeight="1" x14ac:dyDescent="0.25">
      <c r="B39" s="30"/>
      <c r="C39" s="30"/>
      <c r="D39" s="29"/>
      <c r="E39" s="30"/>
      <c r="F39" s="30"/>
      <c r="G39" s="29"/>
      <c r="H39" s="30"/>
      <c r="I39"/>
      <c r="J39" s="27">
        <f>B38+0.2</f>
        <v>0.2</v>
      </c>
      <c r="K39" s="30"/>
      <c r="L39" s="29"/>
      <c r="M39" s="30"/>
      <c r="N39" s="16" t="s">
        <v>34</v>
      </c>
      <c r="O39" s="4"/>
      <c r="P39" s="4"/>
      <c r="Q39" s="4"/>
      <c r="R39" s="4"/>
      <c r="S39" s="4"/>
      <c r="T39" s="4"/>
      <c r="U39" s="4"/>
      <c r="V39" s="4"/>
      <c r="W39" s="30"/>
      <c r="X39" s="34"/>
      <c r="Y39" s="49"/>
      <c r="Z39" s="34"/>
      <c r="AA39" s="34"/>
      <c r="AB39" s="40"/>
      <c r="AC39" s="40"/>
      <c r="AD39" s="40"/>
      <c r="AE39" s="47"/>
      <c r="AF39" s="43"/>
      <c r="AG39" s="30"/>
      <c r="AH39" s="43"/>
      <c r="AI39" s="43"/>
      <c r="AJ39" s="30"/>
      <c r="AK39" s="30"/>
      <c r="AL39" s="30"/>
      <c r="AM39" s="43"/>
      <c r="AN39" s="43"/>
      <c r="AO39" s="43"/>
      <c r="AP39" s="30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</row>
    <row r="40" spans="2:63" s="3" customFormat="1" ht="24.95" customHeight="1" x14ac:dyDescent="0.25">
      <c r="B40" s="30"/>
      <c r="C40" s="30"/>
      <c r="D40" s="29"/>
      <c r="E40" s="30"/>
      <c r="F40" s="30"/>
      <c r="G40" s="29"/>
      <c r="H40" s="30"/>
      <c r="I40"/>
      <c r="J40" s="27">
        <f>B38+0.3</f>
        <v>0.3</v>
      </c>
      <c r="K40" s="30"/>
      <c r="L40" s="29"/>
      <c r="M40" s="30"/>
      <c r="N40" s="16" t="s">
        <v>35</v>
      </c>
      <c r="O40" s="6">
        <f>O39-O38</f>
        <v>0</v>
      </c>
      <c r="P40" s="6">
        <f t="shared" ref="P40" si="37">P39-P38</f>
        <v>0</v>
      </c>
      <c r="Q40" s="6">
        <f t="shared" ref="Q40" si="38">Q39-Q38</f>
        <v>0</v>
      </c>
      <c r="R40" s="6">
        <f t="shared" ref="R40" si="39">R39-R38</f>
        <v>0</v>
      </c>
      <c r="S40" s="6">
        <f t="shared" ref="S40" si="40">S39-S38</f>
        <v>0</v>
      </c>
      <c r="T40" s="6">
        <f t="shared" ref="T40" si="41">T39-T38</f>
        <v>0</v>
      </c>
      <c r="U40" s="6">
        <f t="shared" ref="U40" si="42">U39-U38</f>
        <v>0</v>
      </c>
      <c r="V40" s="6">
        <f t="shared" ref="V40" si="43">V39-V38</f>
        <v>0</v>
      </c>
      <c r="W40" s="30"/>
      <c r="X40" s="34"/>
      <c r="Y40" s="49"/>
      <c r="Z40" s="34"/>
      <c r="AA40" s="34"/>
      <c r="AB40" s="40"/>
      <c r="AC40" s="40"/>
      <c r="AD40" s="40"/>
      <c r="AE40" s="47"/>
      <c r="AF40" s="43"/>
      <c r="AG40" s="30"/>
      <c r="AH40" s="43"/>
      <c r="AI40" s="43"/>
      <c r="AJ40" s="30"/>
      <c r="AK40" s="30"/>
      <c r="AL40" s="30"/>
      <c r="AM40" s="43"/>
      <c r="AN40" s="43"/>
      <c r="AO40" s="43"/>
      <c r="AP40" s="30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</row>
    <row r="41" spans="2:63" s="3" customFormat="1" ht="24.95" customHeight="1" x14ac:dyDescent="0.25">
      <c r="B41" s="30"/>
      <c r="C41" s="30"/>
      <c r="D41" s="29"/>
      <c r="E41" s="30"/>
      <c r="F41" s="30"/>
      <c r="G41" s="29"/>
      <c r="H41" s="30"/>
      <c r="I41"/>
      <c r="J41" s="27">
        <f>B38+0.4</f>
        <v>0.4</v>
      </c>
      <c r="K41" s="30"/>
      <c r="L41" s="29"/>
      <c r="M41" s="30"/>
      <c r="N41" s="16" t="s">
        <v>37</v>
      </c>
      <c r="O41" s="6"/>
      <c r="P41" s="6"/>
      <c r="Q41" s="6"/>
      <c r="R41" s="6"/>
      <c r="S41" s="6"/>
      <c r="T41" s="6"/>
      <c r="U41" s="6"/>
      <c r="V41" s="6"/>
      <c r="W41" s="30"/>
      <c r="X41" s="42">
        <f>1-Y41-AA41</f>
        <v>1</v>
      </c>
      <c r="Y41" s="42">
        <f>Y38/1000*(1-AA38/1000)</f>
        <v>0</v>
      </c>
      <c r="Z41" s="42">
        <f>X41+Y41</f>
        <v>1</v>
      </c>
      <c r="AA41" s="42">
        <f>AA38/1000</f>
        <v>0</v>
      </c>
      <c r="AB41" s="40"/>
      <c r="AC41" s="40"/>
      <c r="AD41" s="40"/>
      <c r="AE41" s="47"/>
      <c r="AF41" s="43"/>
      <c r="AG41" s="30"/>
      <c r="AH41" s="43"/>
      <c r="AI41" s="43"/>
      <c r="AJ41" s="30"/>
      <c r="AK41" s="30"/>
      <c r="AL41" s="30"/>
      <c r="AM41" s="43"/>
      <c r="AN41" s="43"/>
      <c r="AO41" s="43"/>
      <c r="AP41" s="30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</row>
    <row r="42" spans="2:63" s="3" customFormat="1" ht="24.95" customHeight="1" x14ac:dyDescent="0.25">
      <c r="B42" s="30"/>
      <c r="C42" s="30"/>
      <c r="D42" s="29"/>
      <c r="E42" s="30"/>
      <c r="F42" s="30"/>
      <c r="G42" s="29"/>
      <c r="H42" s="30"/>
      <c r="I42"/>
      <c r="J42" s="27">
        <f>B38+0.5</f>
        <v>0.5</v>
      </c>
      <c r="K42" s="30"/>
      <c r="L42" s="29"/>
      <c r="M42" s="30"/>
      <c r="N42" s="16" t="s">
        <v>36</v>
      </c>
      <c r="O42" s="6">
        <f>O41-O38</f>
        <v>0</v>
      </c>
      <c r="P42" s="6">
        <f t="shared" ref="P42" si="44">P41-P38</f>
        <v>0</v>
      </c>
      <c r="Q42" s="6">
        <f t="shared" ref="Q42" si="45">Q41-Q38</f>
        <v>0</v>
      </c>
      <c r="R42" s="6">
        <f t="shared" ref="R42" si="46">R41-R38</f>
        <v>0</v>
      </c>
      <c r="S42" s="6">
        <f t="shared" ref="S42" si="47">S41-S38</f>
        <v>0</v>
      </c>
      <c r="T42" s="6">
        <f t="shared" ref="T42" si="48">T41-T38</f>
        <v>0</v>
      </c>
      <c r="U42" s="6">
        <f t="shared" ref="U42" si="49">U41-U38</f>
        <v>0</v>
      </c>
      <c r="V42" s="6">
        <f t="shared" ref="V42" si="50">V41-V38</f>
        <v>0</v>
      </c>
      <c r="W42" s="30"/>
      <c r="X42" s="42"/>
      <c r="Y42" s="42"/>
      <c r="Z42" s="42"/>
      <c r="AA42" s="42"/>
      <c r="AB42" s="41"/>
      <c r="AC42" s="41"/>
      <c r="AD42" s="41"/>
      <c r="AE42" s="48"/>
      <c r="AF42" s="35"/>
      <c r="AG42" s="30"/>
      <c r="AH42" s="35"/>
      <c r="AI42" s="35"/>
      <c r="AJ42" s="30"/>
      <c r="AK42" s="30"/>
      <c r="AL42" s="30"/>
      <c r="AM42" s="35"/>
      <c r="AN42" s="35"/>
      <c r="AO42" s="35"/>
      <c r="AP42" s="30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</row>
    <row r="43" spans="2:63" s="3" customFormat="1" ht="24.95" customHeight="1" x14ac:dyDescent="0.25">
      <c r="B43" s="29"/>
      <c r="C43" s="29"/>
      <c r="D43" s="30"/>
      <c r="E43" s="30"/>
      <c r="F43" s="29"/>
      <c r="G43" s="30"/>
      <c r="H43" s="30"/>
      <c r="I43"/>
      <c r="J43" s="27">
        <f>B43+0.1</f>
        <v>0.1</v>
      </c>
      <c r="K43" s="44"/>
      <c r="L43" s="30"/>
      <c r="M43" s="30"/>
      <c r="N43" s="16" t="s">
        <v>33</v>
      </c>
      <c r="O43" s="4"/>
      <c r="P43" s="4"/>
      <c r="Q43" s="4"/>
      <c r="R43" s="4"/>
      <c r="S43" s="4"/>
      <c r="T43" s="4"/>
      <c r="U43" s="4"/>
      <c r="V43" s="4"/>
      <c r="W43" s="34" t="str">
        <f t="shared" ref="W43" si="51">IF(AA43&gt;500,"LV",IF(Y43&gt;500,"Flat","Luma"))</f>
        <v>Luma</v>
      </c>
      <c r="X43" s="34"/>
      <c r="Y43" s="49"/>
      <c r="Z43" s="34">
        <f>X43*Y43/1000</f>
        <v>0</v>
      </c>
      <c r="AA43" s="34">
        <f>IF(AE43&gt;AD43,AR43,0)</f>
        <v>0</v>
      </c>
      <c r="AB43" s="39"/>
      <c r="AC43" s="39"/>
      <c r="AD43" s="39"/>
      <c r="AE43" s="46">
        <f>((AG43-(AH43*10))/10)*_xlfn.XLOOKUP(AI43,$R$2:$AJ$2,$R$3:$AJ$3)+(1-((AG43-(AH43*10))/10))*_xlfn.XLOOKUP(AH43,$R$2:$AJ$2,$R$3:$AJ$3)</f>
        <v>0</v>
      </c>
      <c r="AF43" s="31">
        <f>ROUND(AE43*Z43/1000+AD43*(1-Z43/1000),0)</f>
        <v>0</v>
      </c>
      <c r="AG43" s="34"/>
      <c r="AH43" s="31">
        <f>ROUNDDOWN(AG43/10,0)</f>
        <v>0</v>
      </c>
      <c r="AI43" s="31">
        <f>AH43+1</f>
        <v>1</v>
      </c>
      <c r="AJ43" s="34"/>
      <c r="AK43" s="31">
        <f>IF(AJ43&lt;0,0,IF(AJ43&gt;1000,10,ROUNDDOWN(AJ43/100,0)))</f>
        <v>0</v>
      </c>
      <c r="AL43" s="31">
        <f>IF(AJ43&lt;0,1,IF(AJ43&gt;1000,10,AK43+1))</f>
        <v>1</v>
      </c>
      <c r="AM43" s="34" t="e">
        <f>IF(AJ43&lt;0,INT(AS43+((AT43-AS43)*(AG43-AH43*10)/(AI43*10-AH43*10))),IF(AJ43&gt;1000,(AU43+((AV43-AU43)*(AG43-AH43*10)/(AI43*10-AH43*10))),BA43))</f>
        <v>#VALUE!</v>
      </c>
      <c r="AN43" s="31" t="e">
        <f>IF(AJ43&lt;0,INT(AW43+((AX43-AW43)*(AG43-AH43*10)/(AI43*10-AH43*10))),IF(AJ43&gt;1000,(AY43+((AZ43-AY43)*(AG43-AH43*10)/(AI43*10-AH43*10))),BB43))</f>
        <v>#VALUE!</v>
      </c>
      <c r="AO43" s="31"/>
      <c r="AP43" s="31"/>
      <c r="AR43" s="28"/>
      <c r="AS43" s="28" t="e">
        <f>HLOOKUP(AH43,$AQ$6:$BJ$17,AK43+2,FALSE)</f>
        <v>#VALUE!</v>
      </c>
      <c r="AT43" s="28" t="e">
        <f>HLOOKUP(AI43,$AQ$6:$BJ$17,AK43+2,FALSE)</f>
        <v>#VALUE!</v>
      </c>
      <c r="AU43" s="28" t="e">
        <f>HLOOKUP(AH43,$AQ$6:$BJ$17,AL43+2,FALSE)</f>
        <v>#VALUE!</v>
      </c>
      <c r="AV43" s="28" t="e">
        <f>VLOOKUP(AL43,$AQ$6:$BJ$17,AI43+2,FALSE)</f>
        <v>#VALUE!</v>
      </c>
      <c r="AW43" s="28" t="e">
        <f>HLOOKUP(AH43,$BK$6:$CD$17,AK43+2,FALSE)</f>
        <v>#VALUE!</v>
      </c>
      <c r="AX43" s="28" t="e">
        <f>HLOOKUP(AI43,$BK$6:$CD$17,AK43+2,FALSE)</f>
        <v>#VALUE!</v>
      </c>
      <c r="AY43" s="28" t="e">
        <f>HLOOKUP(AH43,$BK$6:$CD$17,AL43+2,FALSE)</f>
        <v>#VALUE!</v>
      </c>
      <c r="AZ43" s="28" t="e">
        <f>HLOOKUP(AI43,$BK$6:$CD$17,AL43+2,FALSE)</f>
        <v>#VALUE!</v>
      </c>
      <c r="BA43" s="28" t="e">
        <f>INT((AS43+((AT43-AS43)*(AG43-AH43*10)/(AI43*10-AH43*10)))+(((AU43+((AV43-AU43)*(AG43-AH43*10)/(AJ43*10-AH43*10)))-(AS43+((AT43-AS43)*(AG43-AH43*10)/(AI43*10-AH43*10))))*(AJ43-AK43*100)/(AL43*100-AK43*100)))</f>
        <v>#VALUE!</v>
      </c>
      <c r="BB43" s="28" t="e">
        <f>INT((AW43+((AX43-AW43)*(AG43-AH43*10)/(AI43*10-AH43*10)))+(((AY43+((AZ43-AY43)*(AG43-AH43*10)/(AJ43*10-AH43*10)))-(AW43+((AX43-AW43)*(AG43-AH43*10)/(AI43*10-AH43*10))))*(AJ43-AK43*100)/(AL43*100-AK43*100)))</f>
        <v>#VALUE!</v>
      </c>
      <c r="BC43" s="28">
        <f>IF(AG43-50&lt;$D$15,$D$15,AG43-50)</f>
        <v>0</v>
      </c>
      <c r="BD43" s="28" t="e">
        <f>_xlfn.XLOOKUP(BC43,$D$15:$H$15,$D$15:$H$15,,-1)</f>
        <v>#N/A</v>
      </c>
      <c r="BE43" s="28">
        <f>_xlfn.XLOOKUP(BC43,$D$15:$H$15,$D$15:$H$15,,1)</f>
        <v>0</v>
      </c>
      <c r="BF43" s="28" t="e">
        <f>_xlfn.XLOOKUP(BC43,$D$15:$H$15,$D$16:$H$16,,-1)</f>
        <v>#N/A</v>
      </c>
      <c r="BG43" s="28">
        <f>_xlfn.XLOOKUP(BC43,$D$15:$H$15,$D$16:$H$16,,1)</f>
        <v>0</v>
      </c>
      <c r="BH43" s="28" t="e">
        <f>_xlfn.XLOOKUP(BC43,$D$15:$H$15,$D$17:$H$17,,-1)</f>
        <v>#N/A</v>
      </c>
      <c r="BI43" s="28">
        <f>_xlfn.XLOOKUP(BC43,$D$15:$H$15,$D$17:$H$17,,1)</f>
        <v>0</v>
      </c>
      <c r="BJ43" s="28" t="e">
        <f>IF(BD43=BE43,BF43,(((BC43-BD43)/(BE43-BD43))*BG43+(1-((BC43-BD43)/(BE43-BD43)))*BF43))</f>
        <v>#N/A</v>
      </c>
      <c r="BK43" s="28" t="e">
        <f>IF(BD43=BE43,BH43,(((BC43-BD43)/(BE43-BD43))*BI43+(1-((BC43-BD43)/(BE43-BD43)))*BH43))</f>
        <v>#N/A</v>
      </c>
    </row>
    <row r="44" spans="2:63" s="3" customFormat="1" ht="24.95" customHeight="1" x14ac:dyDescent="0.25">
      <c r="B44" s="30"/>
      <c r="C44" s="30"/>
      <c r="D44" s="29"/>
      <c r="E44" s="30"/>
      <c r="F44" s="30"/>
      <c r="G44" s="29"/>
      <c r="H44" s="30"/>
      <c r="I44"/>
      <c r="J44" s="27">
        <f>B43+0.2</f>
        <v>0.2</v>
      </c>
      <c r="K44" s="30"/>
      <c r="L44" s="29"/>
      <c r="M44" s="30"/>
      <c r="N44" s="16" t="s">
        <v>34</v>
      </c>
      <c r="O44" s="4"/>
      <c r="P44" s="4"/>
      <c r="Q44" s="4"/>
      <c r="R44" s="4"/>
      <c r="S44" s="4"/>
      <c r="T44" s="4"/>
      <c r="U44" s="4"/>
      <c r="V44" s="4"/>
      <c r="W44" s="30"/>
      <c r="X44" s="34"/>
      <c r="Y44" s="49"/>
      <c r="Z44" s="34"/>
      <c r="AA44" s="34"/>
      <c r="AB44" s="40"/>
      <c r="AC44" s="40"/>
      <c r="AD44" s="40"/>
      <c r="AE44" s="47"/>
      <c r="AF44" s="43"/>
      <c r="AG44" s="30"/>
      <c r="AH44" s="43"/>
      <c r="AI44" s="43"/>
      <c r="AJ44" s="30"/>
      <c r="AK44" s="30"/>
      <c r="AL44" s="30"/>
      <c r="AM44" s="43"/>
      <c r="AN44" s="43"/>
      <c r="AO44" s="43"/>
      <c r="AP44" s="30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</row>
    <row r="45" spans="2:63" s="3" customFormat="1" ht="24.95" customHeight="1" x14ac:dyDescent="0.25">
      <c r="B45" s="30"/>
      <c r="C45" s="30"/>
      <c r="D45" s="29"/>
      <c r="E45" s="30"/>
      <c r="F45" s="30"/>
      <c r="G45" s="29"/>
      <c r="H45" s="30"/>
      <c r="I45"/>
      <c r="J45" s="27">
        <f>B43+0.3</f>
        <v>0.3</v>
      </c>
      <c r="K45" s="30"/>
      <c r="L45" s="29"/>
      <c r="M45" s="30"/>
      <c r="N45" s="16" t="s">
        <v>35</v>
      </c>
      <c r="O45" s="6">
        <f>O44-O43</f>
        <v>0</v>
      </c>
      <c r="P45" s="6">
        <f t="shared" ref="P45" si="52">P44-P43</f>
        <v>0</v>
      </c>
      <c r="Q45" s="6">
        <f t="shared" ref="Q45" si="53">Q44-Q43</f>
        <v>0</v>
      </c>
      <c r="R45" s="6">
        <f t="shared" ref="R45" si="54">R44-R43</f>
        <v>0</v>
      </c>
      <c r="S45" s="6">
        <f t="shared" ref="S45" si="55">S44-S43</f>
        <v>0</v>
      </c>
      <c r="T45" s="6">
        <f t="shared" ref="T45" si="56">T44-T43</f>
        <v>0</v>
      </c>
      <c r="U45" s="6">
        <f t="shared" ref="U45" si="57">U44-U43</f>
        <v>0</v>
      </c>
      <c r="V45" s="6">
        <f t="shared" ref="V45" si="58">V44-V43</f>
        <v>0</v>
      </c>
      <c r="W45" s="30"/>
      <c r="X45" s="34"/>
      <c r="Y45" s="49"/>
      <c r="Z45" s="34"/>
      <c r="AA45" s="34"/>
      <c r="AB45" s="40"/>
      <c r="AC45" s="40"/>
      <c r="AD45" s="40"/>
      <c r="AE45" s="47"/>
      <c r="AF45" s="43"/>
      <c r="AG45" s="30"/>
      <c r="AH45" s="43"/>
      <c r="AI45" s="43"/>
      <c r="AJ45" s="30"/>
      <c r="AK45" s="30"/>
      <c r="AL45" s="30"/>
      <c r="AM45" s="43"/>
      <c r="AN45" s="43"/>
      <c r="AO45" s="43"/>
      <c r="AP45" s="30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</row>
    <row r="46" spans="2:63" s="3" customFormat="1" ht="24.95" customHeight="1" x14ac:dyDescent="0.25">
      <c r="B46" s="30"/>
      <c r="C46" s="30"/>
      <c r="D46" s="29"/>
      <c r="E46" s="30"/>
      <c r="F46" s="30"/>
      <c r="G46" s="29"/>
      <c r="H46" s="30"/>
      <c r="I46"/>
      <c r="J46" s="27">
        <f>B43+0.4</f>
        <v>0.4</v>
      </c>
      <c r="K46" s="30"/>
      <c r="L46" s="29"/>
      <c r="M46" s="30"/>
      <c r="N46" s="16" t="s">
        <v>37</v>
      </c>
      <c r="O46" s="6"/>
      <c r="P46" s="6"/>
      <c r="Q46" s="6"/>
      <c r="R46" s="6"/>
      <c r="S46" s="6"/>
      <c r="T46" s="6"/>
      <c r="U46" s="6"/>
      <c r="V46" s="6"/>
      <c r="W46" s="30"/>
      <c r="X46" s="42">
        <f>1-Y46-AA46</f>
        <v>1</v>
      </c>
      <c r="Y46" s="42">
        <f>Y43/1000*(1-AA43/1000)</f>
        <v>0</v>
      </c>
      <c r="Z46" s="42">
        <f>X46+Y46</f>
        <v>1</v>
      </c>
      <c r="AA46" s="42">
        <f>AA43/1000</f>
        <v>0</v>
      </c>
      <c r="AB46" s="40"/>
      <c r="AC46" s="40"/>
      <c r="AD46" s="40"/>
      <c r="AE46" s="47"/>
      <c r="AF46" s="43"/>
      <c r="AG46" s="30"/>
      <c r="AH46" s="43"/>
      <c r="AI46" s="43"/>
      <c r="AJ46" s="30"/>
      <c r="AK46" s="30"/>
      <c r="AL46" s="30"/>
      <c r="AM46" s="43"/>
      <c r="AN46" s="43"/>
      <c r="AO46" s="43"/>
      <c r="AP46" s="30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</row>
    <row r="47" spans="2:63" s="3" customFormat="1" ht="24.95" customHeight="1" x14ac:dyDescent="0.25">
      <c r="B47" s="30"/>
      <c r="C47" s="30"/>
      <c r="D47" s="29"/>
      <c r="E47" s="30"/>
      <c r="F47" s="30"/>
      <c r="G47" s="29"/>
      <c r="H47" s="30"/>
      <c r="I47"/>
      <c r="J47" s="27">
        <f>B43+0.5</f>
        <v>0.5</v>
      </c>
      <c r="K47" s="30"/>
      <c r="L47" s="29"/>
      <c r="M47" s="30"/>
      <c r="N47" s="16" t="s">
        <v>36</v>
      </c>
      <c r="O47" s="6">
        <f>O46-O43</f>
        <v>0</v>
      </c>
      <c r="P47" s="6">
        <f t="shared" ref="P47" si="59">P46-P43</f>
        <v>0</v>
      </c>
      <c r="Q47" s="6">
        <f t="shared" ref="Q47" si="60">Q46-Q43</f>
        <v>0</v>
      </c>
      <c r="R47" s="6">
        <f t="shared" ref="R47" si="61">R46-R43</f>
        <v>0</v>
      </c>
      <c r="S47" s="6">
        <f t="shared" ref="S47" si="62">S46-S43</f>
        <v>0</v>
      </c>
      <c r="T47" s="6">
        <f t="shared" ref="T47" si="63">T46-T43</f>
        <v>0</v>
      </c>
      <c r="U47" s="6">
        <f t="shared" ref="U47" si="64">U46-U43</f>
        <v>0</v>
      </c>
      <c r="V47" s="6">
        <f t="shared" ref="V47" si="65">V46-V43</f>
        <v>0</v>
      </c>
      <c r="W47" s="30"/>
      <c r="X47" s="42"/>
      <c r="Y47" s="42"/>
      <c r="Z47" s="42"/>
      <c r="AA47" s="42"/>
      <c r="AB47" s="41"/>
      <c r="AC47" s="41"/>
      <c r="AD47" s="41"/>
      <c r="AE47" s="48"/>
      <c r="AF47" s="35"/>
      <c r="AG47" s="30"/>
      <c r="AH47" s="35"/>
      <c r="AI47" s="35"/>
      <c r="AJ47" s="30"/>
      <c r="AK47" s="30"/>
      <c r="AL47" s="30"/>
      <c r="AM47" s="35"/>
      <c r="AN47" s="35"/>
      <c r="AO47" s="35"/>
      <c r="AP47" s="30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</row>
    <row r="48" spans="2:63" s="3" customFormat="1" ht="24.95" customHeight="1" x14ac:dyDescent="0.25">
      <c r="B48" s="29"/>
      <c r="C48" s="29"/>
      <c r="D48" s="30"/>
      <c r="E48" s="30"/>
      <c r="F48" s="29"/>
      <c r="G48" s="30"/>
      <c r="H48" s="30"/>
      <c r="I48"/>
      <c r="J48" s="27">
        <f>B48+0.1</f>
        <v>0.1</v>
      </c>
      <c r="K48" s="44"/>
      <c r="L48" s="30"/>
      <c r="M48" s="30"/>
      <c r="N48" s="16" t="s">
        <v>33</v>
      </c>
      <c r="O48" s="4"/>
      <c r="P48" s="4"/>
      <c r="Q48" s="4"/>
      <c r="R48" s="4"/>
      <c r="S48" s="4"/>
      <c r="T48" s="4"/>
      <c r="U48" s="4"/>
      <c r="V48" s="4"/>
      <c r="W48" s="34" t="str">
        <f t="shared" ref="W48" si="66">IF(AA48&gt;500,"LV",IF(Y48&gt;500,"Flat","Luma"))</f>
        <v>Luma</v>
      </c>
      <c r="X48" s="34"/>
      <c r="Y48" s="49"/>
      <c r="Z48" s="34">
        <f>X48*Y48/1000</f>
        <v>0</v>
      </c>
      <c r="AA48" s="34">
        <f>IF(AE48&gt;AD48,AR48,0)</f>
        <v>0</v>
      </c>
      <c r="AB48" s="39"/>
      <c r="AC48" s="39"/>
      <c r="AD48" s="39"/>
      <c r="AE48" s="46">
        <f>((AG48-(AH48*10))/10)*_xlfn.XLOOKUP(AI48,$R$2:$AJ$2,$R$3:$AJ$3)+(1-((AG48-(AH48*10))/10))*_xlfn.XLOOKUP(AH48,$R$2:$AJ$2,$R$3:$AJ$3)</f>
        <v>0</v>
      </c>
      <c r="AF48" s="31">
        <f>ROUND(AE48*Z48/1000+AD48*(1-Z48/1000),0)</f>
        <v>0</v>
      </c>
      <c r="AG48" s="34"/>
      <c r="AH48" s="31">
        <f>ROUNDDOWN(AG48/10,0)</f>
        <v>0</v>
      </c>
      <c r="AI48" s="31">
        <f>AH48+1</f>
        <v>1</v>
      </c>
      <c r="AJ48" s="34"/>
      <c r="AK48" s="31">
        <f>IF(AJ48&lt;0,0,IF(AJ48&gt;1000,10,ROUNDDOWN(AJ48/100,0)))</f>
        <v>0</v>
      </c>
      <c r="AL48" s="31">
        <f>IF(AJ48&lt;0,1,IF(AJ48&gt;1000,10,AK48+1))</f>
        <v>1</v>
      </c>
      <c r="AM48" s="34" t="e">
        <f>IF(AJ48&lt;0,INT(AS48+((AT48-AS48)*(AG48-AH48*10)/(AI48*10-AH48*10))),IF(AJ48&gt;1000,(AU48+((AV48-AU48)*(AG48-AH48*10)/(AI48*10-AH48*10))),BA48))</f>
        <v>#VALUE!</v>
      </c>
      <c r="AN48" s="31" t="e">
        <f>IF(AJ48&lt;0,INT(AW48+((AX48-AW48)*(AG48-AH48*10)/(AI48*10-AH48*10))),IF(AJ48&gt;1000,(AY48+((AZ48-AY48)*(AG48-AH48*10)/(AI48*10-AH48*10))),BB48))</f>
        <v>#VALUE!</v>
      </c>
      <c r="AO48" s="31"/>
      <c r="AP48" s="31"/>
      <c r="AR48" s="28"/>
      <c r="AS48" s="28" t="e">
        <f>HLOOKUP(AH48,$AQ$6:$BJ$17,AK48+2,FALSE)</f>
        <v>#VALUE!</v>
      </c>
      <c r="AT48" s="28" t="e">
        <f>HLOOKUP(AI48,$AQ$6:$BJ$17,AK48+2,FALSE)</f>
        <v>#VALUE!</v>
      </c>
      <c r="AU48" s="28" t="e">
        <f>HLOOKUP(AH48,$AQ$6:$BJ$17,AL48+2,FALSE)</f>
        <v>#VALUE!</v>
      </c>
      <c r="AV48" s="28" t="e">
        <f>VLOOKUP(AL48,$AQ$6:$BJ$17,AI48+2,FALSE)</f>
        <v>#VALUE!</v>
      </c>
      <c r="AW48" s="28" t="e">
        <f>HLOOKUP(AH48,$BK$6:$CD$17,AK48+2,FALSE)</f>
        <v>#VALUE!</v>
      </c>
      <c r="AX48" s="28" t="e">
        <f>HLOOKUP(AI48,$BK$6:$CD$17,AK48+2,FALSE)</f>
        <v>#VALUE!</v>
      </c>
      <c r="AY48" s="28" t="e">
        <f>HLOOKUP(AH48,$BK$6:$CD$17,AL48+2,FALSE)</f>
        <v>#VALUE!</v>
      </c>
      <c r="AZ48" s="28" t="e">
        <f>HLOOKUP(AI48,$BK$6:$CD$17,AL48+2,FALSE)</f>
        <v>#VALUE!</v>
      </c>
      <c r="BA48" s="28" t="e">
        <f>INT((AS48+((AT48-AS48)*(AG48-AH48*10)/(AI48*10-AH48*10)))+(((AU48+((AV48-AU48)*(AG48-AH48*10)/(AJ48*10-AH48*10)))-(AS48+((AT48-AS48)*(AG48-AH48*10)/(AI48*10-AH48*10))))*(AJ48-AK48*100)/(AL48*100-AK48*100)))</f>
        <v>#VALUE!</v>
      </c>
      <c r="BB48" s="28" t="e">
        <f>INT((AW48+((AX48-AW48)*(AG48-AH48*10)/(AI48*10-AH48*10)))+(((AY48+((AZ48-AY48)*(AG48-AH48*10)/(AJ48*10-AH48*10)))-(AW48+((AX48-AW48)*(AG48-AH48*10)/(AI48*10-AH48*10))))*(AJ48-AK48*100)/(AL48*100-AK48*100)))</f>
        <v>#VALUE!</v>
      </c>
      <c r="BC48" s="28">
        <f>IF(AG48-50&lt;$D$15,$D$15,AG48-50)</f>
        <v>0</v>
      </c>
      <c r="BD48" s="28" t="e">
        <f>_xlfn.XLOOKUP(BC48,$D$15:$H$15,$D$15:$H$15,,-1)</f>
        <v>#N/A</v>
      </c>
      <c r="BE48" s="28">
        <f>_xlfn.XLOOKUP(BC48,$D$15:$H$15,$D$15:$H$15,,1)</f>
        <v>0</v>
      </c>
      <c r="BF48" s="28" t="e">
        <f>_xlfn.XLOOKUP(BC48,$D$15:$H$15,$D$16:$H$16,,-1)</f>
        <v>#N/A</v>
      </c>
      <c r="BG48" s="28">
        <f>_xlfn.XLOOKUP(BC48,$D$15:$H$15,$D$16:$H$16,,1)</f>
        <v>0</v>
      </c>
      <c r="BH48" s="28" t="e">
        <f>_xlfn.XLOOKUP(BC48,$D$15:$H$15,$D$17:$H$17,,-1)</f>
        <v>#N/A</v>
      </c>
      <c r="BI48" s="28">
        <f>_xlfn.XLOOKUP(BC48,$D$15:$H$15,$D$17:$H$17,,1)</f>
        <v>0</v>
      </c>
      <c r="BJ48" s="28" t="e">
        <f>IF(BD48=BE48,BF48,(((BC48-BD48)/(BE48-BD48))*BG48+(1-((BC48-BD48)/(BE48-BD48)))*BF48))</f>
        <v>#N/A</v>
      </c>
      <c r="BK48" s="28" t="e">
        <f>IF(BD48=BE48,BH48,(((BC48-BD48)/(BE48-BD48))*BI48+(1-((BC48-BD48)/(BE48-BD48)))*BH48))</f>
        <v>#N/A</v>
      </c>
    </row>
    <row r="49" spans="2:63" s="3" customFormat="1" ht="24.95" customHeight="1" x14ac:dyDescent="0.25">
      <c r="B49" s="30"/>
      <c r="C49" s="30"/>
      <c r="D49" s="29"/>
      <c r="E49" s="30"/>
      <c r="F49" s="30"/>
      <c r="G49" s="29"/>
      <c r="H49" s="30"/>
      <c r="I49"/>
      <c r="J49" s="27">
        <f>B48+0.2</f>
        <v>0.2</v>
      </c>
      <c r="K49" s="30"/>
      <c r="L49" s="29"/>
      <c r="M49" s="30"/>
      <c r="N49" s="16" t="s">
        <v>34</v>
      </c>
      <c r="O49" s="4"/>
      <c r="P49" s="4"/>
      <c r="Q49" s="4"/>
      <c r="R49" s="4"/>
      <c r="S49" s="4"/>
      <c r="T49" s="4"/>
      <c r="U49" s="4"/>
      <c r="V49" s="4"/>
      <c r="W49" s="30"/>
      <c r="X49" s="34"/>
      <c r="Y49" s="49"/>
      <c r="Z49" s="34"/>
      <c r="AA49" s="34"/>
      <c r="AB49" s="40"/>
      <c r="AC49" s="40"/>
      <c r="AD49" s="40"/>
      <c r="AE49" s="47"/>
      <c r="AF49" s="43"/>
      <c r="AG49" s="30"/>
      <c r="AH49" s="43"/>
      <c r="AI49" s="43"/>
      <c r="AJ49" s="30"/>
      <c r="AK49" s="30"/>
      <c r="AL49" s="30"/>
      <c r="AM49" s="43"/>
      <c r="AN49" s="43"/>
      <c r="AO49" s="43"/>
      <c r="AP49" s="30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</row>
    <row r="50" spans="2:63" s="3" customFormat="1" ht="24.95" customHeight="1" x14ac:dyDescent="0.25">
      <c r="B50" s="30"/>
      <c r="C50" s="30"/>
      <c r="D50" s="29"/>
      <c r="E50" s="30"/>
      <c r="F50" s="30"/>
      <c r="G50" s="29"/>
      <c r="H50" s="30"/>
      <c r="I50"/>
      <c r="J50" s="27">
        <f>B48+0.3</f>
        <v>0.3</v>
      </c>
      <c r="K50" s="30"/>
      <c r="L50" s="29"/>
      <c r="M50" s="30"/>
      <c r="N50" s="16" t="s">
        <v>35</v>
      </c>
      <c r="O50" s="6">
        <f>O49-O48</f>
        <v>0</v>
      </c>
      <c r="P50" s="6">
        <f t="shared" ref="P50" si="67">P49-P48</f>
        <v>0</v>
      </c>
      <c r="Q50" s="6">
        <f t="shared" ref="Q50" si="68">Q49-Q48</f>
        <v>0</v>
      </c>
      <c r="R50" s="6">
        <f t="shared" ref="R50" si="69">R49-R48</f>
        <v>0</v>
      </c>
      <c r="S50" s="6">
        <f t="shared" ref="S50" si="70">S49-S48</f>
        <v>0</v>
      </c>
      <c r="T50" s="6">
        <f t="shared" ref="T50" si="71">T49-T48</f>
        <v>0</v>
      </c>
      <c r="U50" s="6">
        <f t="shared" ref="U50" si="72">U49-U48</f>
        <v>0</v>
      </c>
      <c r="V50" s="6">
        <f t="shared" ref="V50" si="73">V49-V48</f>
        <v>0</v>
      </c>
      <c r="W50" s="30"/>
      <c r="X50" s="34"/>
      <c r="Y50" s="49"/>
      <c r="Z50" s="34"/>
      <c r="AA50" s="34"/>
      <c r="AB50" s="40"/>
      <c r="AC50" s="40"/>
      <c r="AD50" s="40"/>
      <c r="AE50" s="47"/>
      <c r="AF50" s="43"/>
      <c r="AG50" s="30"/>
      <c r="AH50" s="43"/>
      <c r="AI50" s="43"/>
      <c r="AJ50" s="30"/>
      <c r="AK50" s="30"/>
      <c r="AL50" s="30"/>
      <c r="AM50" s="43"/>
      <c r="AN50" s="43"/>
      <c r="AO50" s="43"/>
      <c r="AP50" s="30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</row>
    <row r="51" spans="2:63" s="3" customFormat="1" ht="24.95" customHeight="1" x14ac:dyDescent="0.25">
      <c r="B51" s="30"/>
      <c r="C51" s="30"/>
      <c r="D51" s="29"/>
      <c r="E51" s="30"/>
      <c r="F51" s="30"/>
      <c r="G51" s="29"/>
      <c r="H51" s="30"/>
      <c r="I51"/>
      <c r="J51" s="27">
        <f>B48+0.4</f>
        <v>0.4</v>
      </c>
      <c r="K51" s="30"/>
      <c r="L51" s="29"/>
      <c r="M51" s="30"/>
      <c r="N51" s="16" t="s">
        <v>37</v>
      </c>
      <c r="O51" s="6"/>
      <c r="P51" s="6"/>
      <c r="Q51" s="6"/>
      <c r="R51" s="6"/>
      <c r="S51" s="6"/>
      <c r="T51" s="6"/>
      <c r="U51" s="6"/>
      <c r="V51" s="6"/>
      <c r="W51" s="30"/>
      <c r="X51" s="42">
        <f>1-Y51-AA51</f>
        <v>1</v>
      </c>
      <c r="Y51" s="42">
        <f>Y48/1000*(1-AA48/1000)</f>
        <v>0</v>
      </c>
      <c r="Z51" s="42">
        <f>X51+Y51</f>
        <v>1</v>
      </c>
      <c r="AA51" s="42">
        <f>AA48/1000</f>
        <v>0</v>
      </c>
      <c r="AB51" s="40"/>
      <c r="AC51" s="40"/>
      <c r="AD51" s="40"/>
      <c r="AE51" s="47"/>
      <c r="AF51" s="43"/>
      <c r="AG51" s="30"/>
      <c r="AH51" s="43"/>
      <c r="AI51" s="43"/>
      <c r="AJ51" s="30"/>
      <c r="AK51" s="30"/>
      <c r="AL51" s="30"/>
      <c r="AM51" s="43"/>
      <c r="AN51" s="43"/>
      <c r="AO51" s="43"/>
      <c r="AP51" s="30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</row>
    <row r="52" spans="2:63" s="3" customFormat="1" ht="24.95" customHeight="1" x14ac:dyDescent="0.25">
      <c r="B52" s="30"/>
      <c r="C52" s="30"/>
      <c r="D52" s="29"/>
      <c r="E52" s="30"/>
      <c r="F52" s="30"/>
      <c r="G52" s="29"/>
      <c r="H52" s="30"/>
      <c r="I52"/>
      <c r="J52" s="27">
        <f>B48+0.5</f>
        <v>0.5</v>
      </c>
      <c r="K52" s="30"/>
      <c r="L52" s="29"/>
      <c r="M52" s="30"/>
      <c r="N52" s="16" t="s">
        <v>36</v>
      </c>
      <c r="O52" s="6">
        <f>O51-O48</f>
        <v>0</v>
      </c>
      <c r="P52" s="6">
        <f t="shared" ref="P52" si="74">P51-P48</f>
        <v>0</v>
      </c>
      <c r="Q52" s="6">
        <f t="shared" ref="Q52" si="75">Q51-Q48</f>
        <v>0</v>
      </c>
      <c r="R52" s="6">
        <f t="shared" ref="R52" si="76">R51-R48</f>
        <v>0</v>
      </c>
      <c r="S52" s="6">
        <f t="shared" ref="S52" si="77">S51-S48</f>
        <v>0</v>
      </c>
      <c r="T52" s="6">
        <f t="shared" ref="T52" si="78">T51-T48</f>
        <v>0</v>
      </c>
      <c r="U52" s="6">
        <f t="shared" ref="U52" si="79">U51-U48</f>
        <v>0</v>
      </c>
      <c r="V52" s="6">
        <f t="shared" ref="V52" si="80">V51-V48</f>
        <v>0</v>
      </c>
      <c r="W52" s="30"/>
      <c r="X52" s="42"/>
      <c r="Y52" s="42"/>
      <c r="Z52" s="42"/>
      <c r="AA52" s="42"/>
      <c r="AB52" s="41"/>
      <c r="AC52" s="41"/>
      <c r="AD52" s="41"/>
      <c r="AE52" s="48"/>
      <c r="AF52" s="35"/>
      <c r="AG52" s="30"/>
      <c r="AH52" s="35"/>
      <c r="AI52" s="35"/>
      <c r="AJ52" s="30"/>
      <c r="AK52" s="30"/>
      <c r="AL52" s="30"/>
      <c r="AM52" s="35"/>
      <c r="AN52" s="35"/>
      <c r="AO52" s="35"/>
      <c r="AP52" s="30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</row>
    <row r="53" spans="2:63" s="3" customFormat="1" ht="24.95" customHeight="1" x14ac:dyDescent="0.25">
      <c r="B53" s="29"/>
      <c r="C53" s="29"/>
      <c r="D53" s="30"/>
      <c r="E53" s="30"/>
      <c r="F53" s="29"/>
      <c r="G53" s="30"/>
      <c r="H53" s="30"/>
      <c r="I53"/>
      <c r="J53" s="27">
        <f>B53+0.1</f>
        <v>0.1</v>
      </c>
      <c r="K53" s="44"/>
      <c r="L53" s="30"/>
      <c r="M53" s="30"/>
      <c r="N53" s="16" t="s">
        <v>33</v>
      </c>
      <c r="O53" s="4"/>
      <c r="P53" s="4"/>
      <c r="Q53" s="4"/>
      <c r="R53" s="4"/>
      <c r="S53" s="4"/>
      <c r="T53" s="4"/>
      <c r="U53" s="4"/>
      <c r="V53" s="4"/>
      <c r="W53" s="34" t="str">
        <f t="shared" ref="W53" si="81">IF(AA53&gt;500,"LV",IF(Y53&gt;500,"Flat","Luma"))</f>
        <v>Luma</v>
      </c>
      <c r="X53" s="34"/>
      <c r="Y53" s="49"/>
      <c r="Z53" s="34">
        <f>X53*Y53/1000</f>
        <v>0</v>
      </c>
      <c r="AA53" s="34">
        <f>IF(AE53&gt;AD53,AR53,0)</f>
        <v>0</v>
      </c>
      <c r="AB53" s="39"/>
      <c r="AC53" s="39"/>
      <c r="AD53" s="39"/>
      <c r="AE53" s="46">
        <f>((AG53-(AH53*10))/10)*_xlfn.XLOOKUP(AI53,$R$2:$AJ$2,$R$3:$AJ$3)+(1-((AG53-(AH53*10))/10))*_xlfn.XLOOKUP(AH53,$R$2:$AJ$2,$R$3:$AJ$3)</f>
        <v>0</v>
      </c>
      <c r="AF53" s="31">
        <f>ROUND(AE53*Z53/1000+AD53*(1-Z53/1000),0)</f>
        <v>0</v>
      </c>
      <c r="AG53" s="34"/>
      <c r="AH53" s="31">
        <f>ROUNDDOWN(AG53/10,0)</f>
        <v>0</v>
      </c>
      <c r="AI53" s="31">
        <f>AH53+1</f>
        <v>1</v>
      </c>
      <c r="AJ53" s="34"/>
      <c r="AK53" s="31">
        <f>IF(AJ53&lt;0,0,IF(AJ53&gt;1000,10,ROUNDDOWN(AJ53/100,0)))</f>
        <v>0</v>
      </c>
      <c r="AL53" s="31">
        <f>IF(AJ53&lt;0,1,IF(AJ53&gt;1000,10,AK53+1))</f>
        <v>1</v>
      </c>
      <c r="AM53" s="34" t="e">
        <f>IF(AJ53&lt;0,INT(AS53+((AT53-AS53)*(AG53-AH53*10)/(AI53*10-AH53*10))),IF(AJ53&gt;1000,(AU53+((AV53-AU53)*(AG53-AH53*10)/(AI53*10-AH53*10))),BA53))</f>
        <v>#VALUE!</v>
      </c>
      <c r="AN53" s="31" t="e">
        <f>IF(AJ53&lt;0,INT(AW53+((AX53-AW53)*(AG53-AH53*10)/(AI53*10-AH53*10))),IF(AJ53&gt;1000,(AY53+((AZ53-AY53)*(AG53-AH53*10)/(AI53*10-AH53*10))),BB53))</f>
        <v>#VALUE!</v>
      </c>
      <c r="AO53" s="31"/>
      <c r="AP53" s="31"/>
      <c r="AR53" s="28"/>
      <c r="AS53" s="28" t="e">
        <f>HLOOKUP(AH53,$AQ$6:$BJ$17,AK53+2,FALSE)</f>
        <v>#VALUE!</v>
      </c>
      <c r="AT53" s="28" t="e">
        <f>HLOOKUP(AI53,$AQ$6:$BJ$17,AK53+2,FALSE)</f>
        <v>#VALUE!</v>
      </c>
      <c r="AU53" s="28" t="e">
        <f>HLOOKUP(AH53,$AQ$6:$BJ$17,AL53+2,FALSE)</f>
        <v>#VALUE!</v>
      </c>
      <c r="AV53" s="28" t="e">
        <f>VLOOKUP(AL53,$AQ$6:$BJ$17,AI53+2,FALSE)</f>
        <v>#VALUE!</v>
      </c>
      <c r="AW53" s="28" t="e">
        <f>HLOOKUP(AH53,$BK$6:$CD$17,AK53+2,FALSE)</f>
        <v>#VALUE!</v>
      </c>
      <c r="AX53" s="28" t="e">
        <f>HLOOKUP(AI53,$BK$6:$CD$17,AK53+2,FALSE)</f>
        <v>#VALUE!</v>
      </c>
      <c r="AY53" s="28" t="e">
        <f>HLOOKUP(AH53,$BK$6:$CD$17,AL53+2,FALSE)</f>
        <v>#VALUE!</v>
      </c>
      <c r="AZ53" s="28" t="e">
        <f>HLOOKUP(AI53,$BK$6:$CD$17,AL53+2,FALSE)</f>
        <v>#VALUE!</v>
      </c>
      <c r="BA53" s="28" t="e">
        <f>INT((AS53+((AT53-AS53)*(AG53-AH53*10)/(AI53*10-AH53*10)))+(((AU53+((AV53-AU53)*(AG53-AH53*10)/(AJ53*10-AH53*10)))-(AS53+((AT53-AS53)*(AG53-AH53*10)/(AI53*10-AH53*10))))*(AJ53-AK53*100)/(AL53*100-AK53*100)))</f>
        <v>#VALUE!</v>
      </c>
      <c r="BB53" s="28" t="e">
        <f>INT((AW53+((AX53-AW53)*(AG53-AH53*10)/(AI53*10-AH53*10)))+(((AY53+((AZ53-AY53)*(AG53-AH53*10)/(AJ53*10-AH53*10)))-(AW53+((AX53-AW53)*(AG53-AH53*10)/(AI53*10-AH53*10))))*(AJ53-AK53*100)/(AL53*100-AK53*100)))</f>
        <v>#VALUE!</v>
      </c>
      <c r="BC53" s="28">
        <f>IF(AG53-50&lt;$D$15,$D$15,AG53-50)</f>
        <v>0</v>
      </c>
      <c r="BD53" s="28" t="e">
        <f>_xlfn.XLOOKUP(BC53,$D$15:$H$15,$D$15:$H$15,,-1)</f>
        <v>#N/A</v>
      </c>
      <c r="BE53" s="28">
        <f>_xlfn.XLOOKUP(BC53,$D$15:$H$15,$D$15:$H$15,,1)</f>
        <v>0</v>
      </c>
      <c r="BF53" s="28" t="e">
        <f>_xlfn.XLOOKUP(BC53,$D$15:$H$15,$D$16:$H$16,,-1)</f>
        <v>#N/A</v>
      </c>
      <c r="BG53" s="28">
        <f>_xlfn.XLOOKUP(BC53,$D$15:$H$15,$D$16:$H$16,,1)</f>
        <v>0</v>
      </c>
      <c r="BH53" s="28" t="e">
        <f>_xlfn.XLOOKUP(BC53,$D$15:$H$15,$D$17:$H$17,,-1)</f>
        <v>#N/A</v>
      </c>
      <c r="BI53" s="28">
        <f>_xlfn.XLOOKUP(BC53,$D$15:$H$15,$D$17:$H$17,,1)</f>
        <v>0</v>
      </c>
      <c r="BJ53" s="28" t="e">
        <f>IF(BD53=BE53,BF53,(((BC53-BD53)/(BE53-BD53))*BG53+(1-((BC53-BD53)/(BE53-BD53)))*BF53))</f>
        <v>#N/A</v>
      </c>
      <c r="BK53" s="28" t="e">
        <f>IF(BD53=BE53,BH53,(((BC53-BD53)/(BE53-BD53))*BI53+(1-((BC53-BD53)/(BE53-BD53)))*BH53))</f>
        <v>#N/A</v>
      </c>
    </row>
    <row r="54" spans="2:63" s="3" customFormat="1" ht="24.95" customHeight="1" x14ac:dyDescent="0.25">
      <c r="B54" s="30"/>
      <c r="C54" s="30"/>
      <c r="D54" s="29"/>
      <c r="E54" s="30"/>
      <c r="F54" s="30"/>
      <c r="G54" s="29"/>
      <c r="H54" s="30"/>
      <c r="I54"/>
      <c r="J54" s="27">
        <f>B53+0.2</f>
        <v>0.2</v>
      </c>
      <c r="K54" s="30"/>
      <c r="L54" s="29"/>
      <c r="M54" s="30"/>
      <c r="N54" s="16" t="s">
        <v>34</v>
      </c>
      <c r="O54" s="4"/>
      <c r="P54" s="4"/>
      <c r="Q54" s="4"/>
      <c r="R54" s="4"/>
      <c r="S54" s="4"/>
      <c r="T54" s="4"/>
      <c r="U54" s="4"/>
      <c r="V54" s="4"/>
      <c r="W54" s="30"/>
      <c r="X54" s="34"/>
      <c r="Y54" s="49"/>
      <c r="Z54" s="34"/>
      <c r="AA54" s="34"/>
      <c r="AB54" s="40"/>
      <c r="AC54" s="40"/>
      <c r="AD54" s="40"/>
      <c r="AE54" s="47"/>
      <c r="AF54" s="43"/>
      <c r="AG54" s="30"/>
      <c r="AH54" s="43"/>
      <c r="AI54" s="43"/>
      <c r="AJ54" s="30"/>
      <c r="AK54" s="30"/>
      <c r="AL54" s="30"/>
      <c r="AM54" s="43"/>
      <c r="AN54" s="43"/>
      <c r="AO54" s="43"/>
      <c r="AP54" s="30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</row>
    <row r="55" spans="2:63" s="3" customFormat="1" ht="24.95" customHeight="1" x14ac:dyDescent="0.25">
      <c r="B55" s="30"/>
      <c r="C55" s="30"/>
      <c r="D55" s="29"/>
      <c r="E55" s="30"/>
      <c r="F55" s="30"/>
      <c r="G55" s="29"/>
      <c r="H55" s="30"/>
      <c r="I55"/>
      <c r="J55" s="27">
        <f>B53+0.3</f>
        <v>0.3</v>
      </c>
      <c r="K55" s="30"/>
      <c r="L55" s="29"/>
      <c r="M55" s="30"/>
      <c r="N55" s="16" t="s">
        <v>35</v>
      </c>
      <c r="O55" s="6">
        <f>O54-O53</f>
        <v>0</v>
      </c>
      <c r="P55" s="6">
        <f t="shared" ref="P55" si="82">P54-P53</f>
        <v>0</v>
      </c>
      <c r="Q55" s="6">
        <f t="shared" ref="Q55" si="83">Q54-Q53</f>
        <v>0</v>
      </c>
      <c r="R55" s="6">
        <f t="shared" ref="R55" si="84">R54-R53</f>
        <v>0</v>
      </c>
      <c r="S55" s="6">
        <f t="shared" ref="S55" si="85">S54-S53</f>
        <v>0</v>
      </c>
      <c r="T55" s="6">
        <f t="shared" ref="T55" si="86">T54-T53</f>
        <v>0</v>
      </c>
      <c r="U55" s="6">
        <f t="shared" ref="U55" si="87">U54-U53</f>
        <v>0</v>
      </c>
      <c r="V55" s="6">
        <f t="shared" ref="V55" si="88">V54-V53</f>
        <v>0</v>
      </c>
      <c r="W55" s="30"/>
      <c r="X55" s="34"/>
      <c r="Y55" s="49"/>
      <c r="Z55" s="34"/>
      <c r="AA55" s="34"/>
      <c r="AB55" s="40"/>
      <c r="AC55" s="40"/>
      <c r="AD55" s="40"/>
      <c r="AE55" s="47"/>
      <c r="AF55" s="43"/>
      <c r="AG55" s="30"/>
      <c r="AH55" s="43"/>
      <c r="AI55" s="43"/>
      <c r="AJ55" s="30"/>
      <c r="AK55" s="30"/>
      <c r="AL55" s="30"/>
      <c r="AM55" s="43"/>
      <c r="AN55" s="43"/>
      <c r="AO55" s="43"/>
      <c r="AP55" s="30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</row>
    <row r="56" spans="2:63" s="3" customFormat="1" ht="24.95" customHeight="1" x14ac:dyDescent="0.25">
      <c r="B56" s="30"/>
      <c r="C56" s="30"/>
      <c r="D56" s="29"/>
      <c r="E56" s="30"/>
      <c r="F56" s="30"/>
      <c r="G56" s="29"/>
      <c r="H56" s="30"/>
      <c r="I56"/>
      <c r="J56" s="27">
        <f>B53+0.4</f>
        <v>0.4</v>
      </c>
      <c r="K56" s="30"/>
      <c r="L56" s="29"/>
      <c r="M56" s="30"/>
      <c r="N56" s="16" t="s">
        <v>37</v>
      </c>
      <c r="O56" s="6"/>
      <c r="P56" s="6"/>
      <c r="Q56" s="6"/>
      <c r="R56" s="6"/>
      <c r="S56" s="6"/>
      <c r="T56" s="6"/>
      <c r="U56" s="6"/>
      <c r="V56" s="6"/>
      <c r="W56" s="30"/>
      <c r="X56" s="42">
        <f>1-Y56-AA56</f>
        <v>1</v>
      </c>
      <c r="Y56" s="42">
        <f>Y53/1000*(1-AA53/1000)</f>
        <v>0</v>
      </c>
      <c r="Z56" s="42">
        <f>X56+Y56</f>
        <v>1</v>
      </c>
      <c r="AA56" s="42">
        <f>AA53/1000</f>
        <v>0</v>
      </c>
      <c r="AB56" s="40"/>
      <c r="AC56" s="40"/>
      <c r="AD56" s="40"/>
      <c r="AE56" s="47"/>
      <c r="AF56" s="43"/>
      <c r="AG56" s="30"/>
      <c r="AH56" s="43"/>
      <c r="AI56" s="43"/>
      <c r="AJ56" s="30"/>
      <c r="AK56" s="30"/>
      <c r="AL56" s="30"/>
      <c r="AM56" s="43"/>
      <c r="AN56" s="43"/>
      <c r="AO56" s="43"/>
      <c r="AP56" s="30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</row>
    <row r="57" spans="2:63" s="3" customFormat="1" ht="24.95" customHeight="1" x14ac:dyDescent="0.25">
      <c r="B57" s="30"/>
      <c r="C57" s="30"/>
      <c r="D57" s="29"/>
      <c r="E57" s="30"/>
      <c r="F57" s="30"/>
      <c r="G57" s="29"/>
      <c r="H57" s="30"/>
      <c r="I57"/>
      <c r="J57" s="27">
        <f>B53+0.5</f>
        <v>0.5</v>
      </c>
      <c r="K57" s="30"/>
      <c r="L57" s="29"/>
      <c r="M57" s="30"/>
      <c r="N57" s="16" t="s">
        <v>36</v>
      </c>
      <c r="O57" s="6">
        <f>O56-O53</f>
        <v>0</v>
      </c>
      <c r="P57" s="6">
        <f t="shared" ref="P57" si="89">P56-P53</f>
        <v>0</v>
      </c>
      <c r="Q57" s="6">
        <f t="shared" ref="Q57" si="90">Q56-Q53</f>
        <v>0</v>
      </c>
      <c r="R57" s="6">
        <f t="shared" ref="R57" si="91">R56-R53</f>
        <v>0</v>
      </c>
      <c r="S57" s="6">
        <f t="shared" ref="S57" si="92">S56-S53</f>
        <v>0</v>
      </c>
      <c r="T57" s="6">
        <f t="shared" ref="T57" si="93">T56-T53</f>
        <v>0</v>
      </c>
      <c r="U57" s="6">
        <f t="shared" ref="U57" si="94">U56-U53</f>
        <v>0</v>
      </c>
      <c r="V57" s="6">
        <f t="shared" ref="V57" si="95">V56-V53</f>
        <v>0</v>
      </c>
      <c r="W57" s="30"/>
      <c r="X57" s="42"/>
      <c r="Y57" s="42"/>
      <c r="Z57" s="42"/>
      <c r="AA57" s="42"/>
      <c r="AB57" s="41"/>
      <c r="AC57" s="41"/>
      <c r="AD57" s="41"/>
      <c r="AE57" s="48"/>
      <c r="AF57" s="35"/>
      <c r="AG57" s="30"/>
      <c r="AH57" s="35"/>
      <c r="AI57" s="35"/>
      <c r="AJ57" s="30"/>
      <c r="AK57" s="30"/>
      <c r="AL57" s="30"/>
      <c r="AM57" s="35"/>
      <c r="AN57" s="35"/>
      <c r="AO57" s="35"/>
      <c r="AP57" s="30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</row>
    <row r="58" spans="2:63" s="3" customFormat="1" ht="24.95" customHeight="1" x14ac:dyDescent="0.25">
      <c r="B58" s="29"/>
      <c r="C58" s="29"/>
      <c r="D58" s="30"/>
      <c r="E58" s="30"/>
      <c r="F58" s="29"/>
      <c r="G58" s="30"/>
      <c r="H58" s="30"/>
      <c r="I58"/>
      <c r="J58" s="27">
        <f>B58+0.1</f>
        <v>0.1</v>
      </c>
      <c r="K58" s="44"/>
      <c r="L58" s="30"/>
      <c r="M58" s="30"/>
      <c r="N58" s="16" t="s">
        <v>33</v>
      </c>
      <c r="O58" s="4"/>
      <c r="P58" s="4"/>
      <c r="Q58" s="4"/>
      <c r="R58" s="4"/>
      <c r="S58" s="4"/>
      <c r="T58" s="4"/>
      <c r="U58" s="4"/>
      <c r="V58" s="4"/>
      <c r="W58" s="34" t="str">
        <f t="shared" ref="W58" si="96">IF(AA58&gt;500,"LV",IF(Y58&gt;500,"Flat","Luma"))</f>
        <v>Luma</v>
      </c>
      <c r="X58" s="34"/>
      <c r="Y58" s="49"/>
      <c r="Z58" s="34">
        <f>X58*Y58/1000</f>
        <v>0</v>
      </c>
      <c r="AA58" s="34">
        <f>IF(AE58&gt;AD58,AR58,0)</f>
        <v>0</v>
      </c>
      <c r="AB58" s="39"/>
      <c r="AC58" s="39"/>
      <c r="AD58" s="39"/>
      <c r="AE58" s="46">
        <f>((AG58-(AH58*10))/10)*_xlfn.XLOOKUP(AI58,$R$2:$AJ$2,$R$3:$AJ$3)+(1-((AG58-(AH58*10))/10))*_xlfn.XLOOKUP(AH58,$R$2:$AJ$2,$R$3:$AJ$3)</f>
        <v>0</v>
      </c>
      <c r="AF58" s="31">
        <f>ROUND(AE58*Z58/1000+AD58*(1-Z58/1000),0)</f>
        <v>0</v>
      </c>
      <c r="AG58" s="34"/>
      <c r="AH58" s="31">
        <f>ROUNDDOWN(AG58/10,0)</f>
        <v>0</v>
      </c>
      <c r="AI58" s="31">
        <f>AH58+1</f>
        <v>1</v>
      </c>
      <c r="AJ58" s="34"/>
      <c r="AK58" s="31">
        <f>IF(AJ58&lt;0,0,IF(AJ58&gt;1000,10,ROUNDDOWN(AJ58/100,0)))</f>
        <v>0</v>
      </c>
      <c r="AL58" s="31">
        <f>IF(AJ58&lt;0,1,IF(AJ58&gt;1000,10,AK58+1))</f>
        <v>1</v>
      </c>
      <c r="AM58" s="34" t="e">
        <f>IF(AJ58&lt;0,INT(AS58+((AT58-AS58)*(AG58-AH58*10)/(AI58*10-AH58*10))),IF(AJ58&gt;1000,(AU58+((AV58-AU58)*(AG58-AH58*10)/(AI58*10-AH58*10))),BA58))</f>
        <v>#VALUE!</v>
      </c>
      <c r="AN58" s="31" t="e">
        <f>IF(AJ58&lt;0,INT(AW58+((AX58-AW58)*(AG58-AH58*10)/(AI58*10-AH58*10))),IF(AJ58&gt;1000,(AY58+((AZ58-AY58)*(AG58-AH58*10)/(AI58*10-AH58*10))),BB58))</f>
        <v>#VALUE!</v>
      </c>
      <c r="AO58" s="31"/>
      <c r="AP58" s="31"/>
      <c r="AR58" s="28"/>
      <c r="AS58" s="28" t="e">
        <f>HLOOKUP(AH58,$AQ$6:$BJ$17,AK58+2,FALSE)</f>
        <v>#VALUE!</v>
      </c>
      <c r="AT58" s="28" t="e">
        <f>HLOOKUP(AI58,$AQ$6:$BJ$17,AK58+2,FALSE)</f>
        <v>#VALUE!</v>
      </c>
      <c r="AU58" s="28" t="e">
        <f>HLOOKUP(AH58,$AQ$6:$BJ$17,AL58+2,FALSE)</f>
        <v>#VALUE!</v>
      </c>
      <c r="AV58" s="28" t="e">
        <f>VLOOKUP(AL58,$AQ$6:$BJ$17,AI58+2,FALSE)</f>
        <v>#VALUE!</v>
      </c>
      <c r="AW58" s="28" t="e">
        <f>HLOOKUP(AH58,$BK$6:$CD$17,AK58+2,FALSE)</f>
        <v>#VALUE!</v>
      </c>
      <c r="AX58" s="28" t="e">
        <f>HLOOKUP(AI58,$BK$6:$CD$17,AK58+2,FALSE)</f>
        <v>#VALUE!</v>
      </c>
      <c r="AY58" s="28" t="e">
        <f>HLOOKUP(AH58,$BK$6:$CD$17,AL58+2,FALSE)</f>
        <v>#VALUE!</v>
      </c>
      <c r="AZ58" s="28" t="e">
        <f>HLOOKUP(AI58,$BK$6:$CD$17,AL58+2,FALSE)</f>
        <v>#VALUE!</v>
      </c>
      <c r="BA58" s="28" t="e">
        <f>INT((AS58+((AT58-AS58)*(AG58-AH58*10)/(AI58*10-AH58*10)))+(((AU58+((AV58-AU58)*(AG58-AH58*10)/(AJ58*10-AH58*10)))-(AS58+((AT58-AS58)*(AG58-AH58*10)/(AI58*10-AH58*10))))*(AJ58-AK58*100)/(AL58*100-AK58*100)))</f>
        <v>#VALUE!</v>
      </c>
      <c r="BB58" s="28" t="e">
        <f>INT((AW58+((AX58-AW58)*(AG58-AH58*10)/(AI58*10-AH58*10)))+(((AY58+((AZ58-AY58)*(AG58-AH58*10)/(AJ58*10-AH58*10)))-(AW58+((AX58-AW58)*(AG58-AH58*10)/(AI58*10-AH58*10))))*(AJ58-AK58*100)/(AL58*100-AK58*100)))</f>
        <v>#VALUE!</v>
      </c>
      <c r="BC58" s="28">
        <f>IF(AG58-50&lt;$D$15,$D$15,AG58-50)</f>
        <v>0</v>
      </c>
      <c r="BD58" s="28" t="e">
        <f>_xlfn.XLOOKUP(BC58,$D$15:$H$15,$D$15:$H$15,,-1)</f>
        <v>#N/A</v>
      </c>
      <c r="BE58" s="28">
        <f>_xlfn.XLOOKUP(BC58,$D$15:$H$15,$D$15:$H$15,,1)</f>
        <v>0</v>
      </c>
      <c r="BF58" s="28" t="e">
        <f>_xlfn.XLOOKUP(BC58,$D$15:$H$15,$D$16:$H$16,,-1)</f>
        <v>#N/A</v>
      </c>
      <c r="BG58" s="28">
        <f>_xlfn.XLOOKUP(BC58,$D$15:$H$15,$D$16:$H$16,,1)</f>
        <v>0</v>
      </c>
      <c r="BH58" s="28" t="e">
        <f>_xlfn.XLOOKUP(BC58,$D$15:$H$15,$D$17:$H$17,,-1)</f>
        <v>#N/A</v>
      </c>
      <c r="BI58" s="28">
        <f>_xlfn.XLOOKUP(BC58,$D$15:$H$15,$D$17:$H$17,,1)</f>
        <v>0</v>
      </c>
      <c r="BJ58" s="28" t="e">
        <f>IF(BD58=BE58,BF58,(((BC58-BD58)/(BE58-BD58))*BG58+(1-((BC58-BD58)/(BE58-BD58)))*BF58))</f>
        <v>#N/A</v>
      </c>
      <c r="BK58" s="28" t="e">
        <f>IF(BD58=BE58,BH58,(((BC58-BD58)/(BE58-BD58))*BI58+(1-((BC58-BD58)/(BE58-BD58)))*BH58))</f>
        <v>#N/A</v>
      </c>
    </row>
    <row r="59" spans="2:63" s="3" customFormat="1" ht="24.95" customHeight="1" x14ac:dyDescent="0.25">
      <c r="B59" s="30"/>
      <c r="C59" s="30"/>
      <c r="D59" s="29"/>
      <c r="E59" s="30"/>
      <c r="F59" s="30"/>
      <c r="G59" s="29"/>
      <c r="H59" s="30"/>
      <c r="I59"/>
      <c r="J59" s="27">
        <f>B58+0.2</f>
        <v>0.2</v>
      </c>
      <c r="K59" s="30"/>
      <c r="L59" s="29"/>
      <c r="M59" s="30"/>
      <c r="N59" s="16" t="s">
        <v>34</v>
      </c>
      <c r="O59" s="4"/>
      <c r="P59" s="4"/>
      <c r="Q59" s="4"/>
      <c r="R59" s="4"/>
      <c r="S59" s="4"/>
      <c r="T59" s="4"/>
      <c r="U59" s="4"/>
      <c r="V59" s="4"/>
      <c r="W59" s="30"/>
      <c r="X59" s="34"/>
      <c r="Y59" s="49"/>
      <c r="Z59" s="34"/>
      <c r="AA59" s="34"/>
      <c r="AB59" s="40"/>
      <c r="AC59" s="40"/>
      <c r="AD59" s="40"/>
      <c r="AE59" s="47"/>
      <c r="AF59" s="43"/>
      <c r="AG59" s="30"/>
      <c r="AH59" s="43"/>
      <c r="AI59" s="43"/>
      <c r="AJ59" s="30"/>
      <c r="AK59" s="30"/>
      <c r="AL59" s="30"/>
      <c r="AM59" s="43"/>
      <c r="AN59" s="43"/>
      <c r="AO59" s="43"/>
      <c r="AP59" s="30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</row>
    <row r="60" spans="2:63" s="3" customFormat="1" ht="24.95" customHeight="1" x14ac:dyDescent="0.25">
      <c r="B60" s="30"/>
      <c r="C60" s="30"/>
      <c r="D60" s="29"/>
      <c r="E60" s="30"/>
      <c r="F60" s="30"/>
      <c r="G60" s="29"/>
      <c r="H60" s="30"/>
      <c r="I60"/>
      <c r="J60" s="27">
        <f>B58+0.3</f>
        <v>0.3</v>
      </c>
      <c r="K60" s="30"/>
      <c r="L60" s="29"/>
      <c r="M60" s="30"/>
      <c r="N60" s="16" t="s">
        <v>35</v>
      </c>
      <c r="O60" s="6">
        <f>O59-O58</f>
        <v>0</v>
      </c>
      <c r="P60" s="6">
        <f t="shared" ref="P60" si="97">P59-P58</f>
        <v>0</v>
      </c>
      <c r="Q60" s="6">
        <f t="shared" ref="Q60" si="98">Q59-Q58</f>
        <v>0</v>
      </c>
      <c r="R60" s="6">
        <f t="shared" ref="R60" si="99">R59-R58</f>
        <v>0</v>
      </c>
      <c r="S60" s="6">
        <f t="shared" ref="S60" si="100">S59-S58</f>
        <v>0</v>
      </c>
      <c r="T60" s="6">
        <f t="shared" ref="T60" si="101">T59-T58</f>
        <v>0</v>
      </c>
      <c r="U60" s="6">
        <f t="shared" ref="U60" si="102">U59-U58</f>
        <v>0</v>
      </c>
      <c r="V60" s="6">
        <f t="shared" ref="V60" si="103">V59-V58</f>
        <v>0</v>
      </c>
      <c r="W60" s="30"/>
      <c r="X60" s="34"/>
      <c r="Y60" s="49"/>
      <c r="Z60" s="34"/>
      <c r="AA60" s="34"/>
      <c r="AB60" s="40"/>
      <c r="AC60" s="40"/>
      <c r="AD60" s="40"/>
      <c r="AE60" s="47"/>
      <c r="AF60" s="43"/>
      <c r="AG60" s="30"/>
      <c r="AH60" s="43"/>
      <c r="AI60" s="43"/>
      <c r="AJ60" s="30"/>
      <c r="AK60" s="30"/>
      <c r="AL60" s="30"/>
      <c r="AM60" s="43"/>
      <c r="AN60" s="43"/>
      <c r="AO60" s="43"/>
      <c r="AP60" s="30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</row>
    <row r="61" spans="2:63" s="3" customFormat="1" ht="24.95" customHeight="1" x14ac:dyDescent="0.25">
      <c r="B61" s="30"/>
      <c r="C61" s="30"/>
      <c r="D61" s="29"/>
      <c r="E61" s="30"/>
      <c r="F61" s="30"/>
      <c r="G61" s="29"/>
      <c r="H61" s="30"/>
      <c r="I61"/>
      <c r="J61" s="27">
        <f>B58+0.4</f>
        <v>0.4</v>
      </c>
      <c r="K61" s="30"/>
      <c r="L61" s="29"/>
      <c r="M61" s="30"/>
      <c r="N61" s="16" t="s">
        <v>37</v>
      </c>
      <c r="O61" s="6"/>
      <c r="P61" s="6"/>
      <c r="Q61" s="6"/>
      <c r="R61" s="6"/>
      <c r="S61" s="6"/>
      <c r="T61" s="6"/>
      <c r="U61" s="6"/>
      <c r="V61" s="6"/>
      <c r="W61" s="30"/>
      <c r="X61" s="42">
        <f>1-Y61-AA61</f>
        <v>1</v>
      </c>
      <c r="Y61" s="42">
        <f>Y58/1000*(1-AA58/1000)</f>
        <v>0</v>
      </c>
      <c r="Z61" s="42">
        <f>X61+Y61</f>
        <v>1</v>
      </c>
      <c r="AA61" s="42">
        <f>AA58/1000</f>
        <v>0</v>
      </c>
      <c r="AB61" s="40"/>
      <c r="AC61" s="40"/>
      <c r="AD61" s="40"/>
      <c r="AE61" s="47"/>
      <c r="AF61" s="43"/>
      <c r="AG61" s="30"/>
      <c r="AH61" s="43"/>
      <c r="AI61" s="43"/>
      <c r="AJ61" s="30"/>
      <c r="AK61" s="30"/>
      <c r="AL61" s="30"/>
      <c r="AM61" s="43"/>
      <c r="AN61" s="43"/>
      <c r="AO61" s="43"/>
      <c r="AP61" s="30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</row>
    <row r="62" spans="2:63" s="3" customFormat="1" ht="24.95" customHeight="1" x14ac:dyDescent="0.25">
      <c r="B62" s="30"/>
      <c r="C62" s="30"/>
      <c r="D62" s="29"/>
      <c r="E62" s="30"/>
      <c r="F62" s="30"/>
      <c r="G62" s="29"/>
      <c r="H62" s="30"/>
      <c r="I62"/>
      <c r="J62" s="27">
        <f>B58+0.5</f>
        <v>0.5</v>
      </c>
      <c r="K62" s="30"/>
      <c r="L62" s="29"/>
      <c r="M62" s="30"/>
      <c r="N62" s="16" t="s">
        <v>36</v>
      </c>
      <c r="O62" s="6">
        <f>O61-O58</f>
        <v>0</v>
      </c>
      <c r="P62" s="6">
        <f t="shared" ref="P62" si="104">P61-P58</f>
        <v>0</v>
      </c>
      <c r="Q62" s="6">
        <f t="shared" ref="Q62" si="105">Q61-Q58</f>
        <v>0</v>
      </c>
      <c r="R62" s="6">
        <f t="shared" ref="R62" si="106">R61-R58</f>
        <v>0</v>
      </c>
      <c r="S62" s="6">
        <f t="shared" ref="S62" si="107">S61-S58</f>
        <v>0</v>
      </c>
      <c r="T62" s="6">
        <f t="shared" ref="T62" si="108">T61-T58</f>
        <v>0</v>
      </c>
      <c r="U62" s="6">
        <f t="shared" ref="U62" si="109">U61-U58</f>
        <v>0</v>
      </c>
      <c r="V62" s="6">
        <f t="shared" ref="V62" si="110">V61-V58</f>
        <v>0</v>
      </c>
      <c r="W62" s="30"/>
      <c r="X62" s="42"/>
      <c r="Y62" s="42"/>
      <c r="Z62" s="42"/>
      <c r="AA62" s="42"/>
      <c r="AB62" s="41"/>
      <c r="AC62" s="41"/>
      <c r="AD62" s="41"/>
      <c r="AE62" s="48"/>
      <c r="AF62" s="35"/>
      <c r="AG62" s="30"/>
      <c r="AH62" s="35"/>
      <c r="AI62" s="35"/>
      <c r="AJ62" s="30"/>
      <c r="AK62" s="30"/>
      <c r="AL62" s="30"/>
      <c r="AM62" s="35"/>
      <c r="AN62" s="35"/>
      <c r="AO62" s="35"/>
      <c r="AP62" s="30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</row>
    <row r="63" spans="2:63" s="3" customFormat="1" ht="24.95" customHeight="1" x14ac:dyDescent="0.25">
      <c r="B63" s="29"/>
      <c r="C63" s="29"/>
      <c r="D63" s="30"/>
      <c r="E63" s="30"/>
      <c r="F63" s="29"/>
      <c r="G63" s="30"/>
      <c r="H63" s="30"/>
      <c r="I63"/>
      <c r="J63" s="27">
        <f>B63+0.1</f>
        <v>0.1</v>
      </c>
      <c r="K63" s="44"/>
      <c r="L63" s="30"/>
      <c r="M63" s="30"/>
      <c r="N63" s="16" t="s">
        <v>33</v>
      </c>
      <c r="O63" s="4"/>
      <c r="P63" s="4"/>
      <c r="Q63" s="4"/>
      <c r="R63" s="4"/>
      <c r="S63" s="4"/>
      <c r="T63" s="4"/>
      <c r="U63" s="4"/>
      <c r="V63" s="4"/>
      <c r="W63" s="34" t="str">
        <f t="shared" ref="W63" si="111">IF(AA63&gt;500,"LV",IF(Y63&gt;500,"Flat","Luma"))</f>
        <v>Luma</v>
      </c>
      <c r="X63" s="34"/>
      <c r="Y63" s="49"/>
      <c r="Z63" s="34">
        <f>X63*Y63/1000</f>
        <v>0</v>
      </c>
      <c r="AA63" s="34">
        <f>IF(AE63&gt;AD63,AR63,0)</f>
        <v>0</v>
      </c>
      <c r="AB63" s="39"/>
      <c r="AC63" s="39"/>
      <c r="AD63" s="39"/>
      <c r="AE63" s="46">
        <f>((AG63-(AH63*10))/10)*_xlfn.XLOOKUP(AI63,$R$2:$AJ$2,$R$3:$AJ$3)+(1-((AG63-(AH63*10))/10))*_xlfn.XLOOKUP(AH63,$R$2:$AJ$2,$R$3:$AJ$3)</f>
        <v>0</v>
      </c>
      <c r="AF63" s="31">
        <f>ROUND(AE63*Z63/1000+AD63*(1-Z63/1000),0)</f>
        <v>0</v>
      </c>
      <c r="AG63" s="34"/>
      <c r="AH63" s="31">
        <f>ROUNDDOWN(AG63/10,0)</f>
        <v>0</v>
      </c>
      <c r="AI63" s="31">
        <f>AH63+1</f>
        <v>1</v>
      </c>
      <c r="AJ63" s="34"/>
      <c r="AK63" s="31">
        <f>IF(AJ63&lt;0,0,IF(AJ63&gt;1000,10,ROUNDDOWN(AJ63/100,0)))</f>
        <v>0</v>
      </c>
      <c r="AL63" s="31">
        <f>IF(AJ63&lt;0,1,IF(AJ63&gt;1000,10,AK63+1))</f>
        <v>1</v>
      </c>
      <c r="AM63" s="34" t="e">
        <f>IF(AJ63&lt;0,INT(AS63+((AT63-AS63)*(AG63-AH63*10)/(AI63*10-AH63*10))),IF(AJ63&gt;1000,(AU63+((AV63-AU63)*(AG63-AH63*10)/(AI63*10-AH63*10))),BA63))</f>
        <v>#VALUE!</v>
      </c>
      <c r="AN63" s="31" t="e">
        <f>IF(AJ63&lt;0,INT(AW63+((AX63-AW63)*(AG63-AH63*10)/(AI63*10-AH63*10))),IF(AJ63&gt;1000,(AY63+((AZ63-AY63)*(AG63-AH63*10)/(AI63*10-AH63*10))),BB63))</f>
        <v>#VALUE!</v>
      </c>
      <c r="AO63" s="31"/>
      <c r="AP63" s="31"/>
      <c r="AR63" s="28"/>
      <c r="AS63" s="28" t="e">
        <f>HLOOKUP(AH63,$AQ$6:$BJ$17,AK63+2,FALSE)</f>
        <v>#VALUE!</v>
      </c>
      <c r="AT63" s="28" t="e">
        <f>HLOOKUP(AI63,$AQ$6:$BJ$17,AK63+2,FALSE)</f>
        <v>#VALUE!</v>
      </c>
      <c r="AU63" s="28" t="e">
        <f>HLOOKUP(AH63,$AQ$6:$BJ$17,AL63+2,FALSE)</f>
        <v>#VALUE!</v>
      </c>
      <c r="AV63" s="28" t="e">
        <f>VLOOKUP(AL63,$AQ$6:$BJ$17,AI63+2,FALSE)</f>
        <v>#VALUE!</v>
      </c>
      <c r="AW63" s="28" t="e">
        <f>HLOOKUP(AH63,$BK$6:$CD$17,AK63+2,FALSE)</f>
        <v>#VALUE!</v>
      </c>
      <c r="AX63" s="28" t="e">
        <f>HLOOKUP(AI63,$BK$6:$CD$17,AK63+2,FALSE)</f>
        <v>#VALUE!</v>
      </c>
      <c r="AY63" s="28" t="e">
        <f>HLOOKUP(AH63,$BK$6:$CD$17,AL63+2,FALSE)</f>
        <v>#VALUE!</v>
      </c>
      <c r="AZ63" s="28" t="e">
        <f>HLOOKUP(AI63,$BK$6:$CD$17,AL63+2,FALSE)</f>
        <v>#VALUE!</v>
      </c>
      <c r="BA63" s="28" t="e">
        <f>INT((AS63+((AT63-AS63)*(AG63-AH63*10)/(AI63*10-AH63*10)))+(((AU63+((AV63-AU63)*(AG63-AH63*10)/(AJ63*10-AH63*10)))-(AS63+((AT63-AS63)*(AG63-AH63*10)/(AI63*10-AH63*10))))*(AJ63-AK63*100)/(AL63*100-AK63*100)))</f>
        <v>#VALUE!</v>
      </c>
      <c r="BB63" s="28" t="e">
        <f>INT((AW63+((AX63-AW63)*(AG63-AH63*10)/(AI63*10-AH63*10)))+(((AY63+((AZ63-AY63)*(AG63-AH63*10)/(AJ63*10-AH63*10)))-(AW63+((AX63-AW63)*(AG63-AH63*10)/(AI63*10-AH63*10))))*(AJ63-AK63*100)/(AL63*100-AK63*100)))</f>
        <v>#VALUE!</v>
      </c>
      <c r="BC63" s="28">
        <f>IF(AG63-50&lt;$D$15,$D$15,AG63-50)</f>
        <v>0</v>
      </c>
      <c r="BD63" s="28" t="e">
        <f>_xlfn.XLOOKUP(BC63,$D$15:$H$15,$D$15:$H$15,,-1)</f>
        <v>#N/A</v>
      </c>
      <c r="BE63" s="28">
        <f>_xlfn.XLOOKUP(BC63,$D$15:$H$15,$D$15:$H$15,,1)</f>
        <v>0</v>
      </c>
      <c r="BF63" s="28" t="e">
        <f>_xlfn.XLOOKUP(BC63,$D$15:$H$15,$D$16:$H$16,,-1)</f>
        <v>#N/A</v>
      </c>
      <c r="BG63" s="28">
        <f>_xlfn.XLOOKUP(BC63,$D$15:$H$15,$D$16:$H$16,,1)</f>
        <v>0</v>
      </c>
      <c r="BH63" s="28" t="e">
        <f>_xlfn.XLOOKUP(BC63,$D$15:$H$15,$D$17:$H$17,,-1)</f>
        <v>#N/A</v>
      </c>
      <c r="BI63" s="28">
        <f>_xlfn.XLOOKUP(BC63,$D$15:$H$15,$D$17:$H$17,,1)</f>
        <v>0</v>
      </c>
      <c r="BJ63" s="28" t="e">
        <f>IF(BD63=BE63,BF63,(((BC63-BD63)/(BE63-BD63))*BG63+(1-((BC63-BD63)/(BE63-BD63)))*BF63))</f>
        <v>#N/A</v>
      </c>
      <c r="BK63" s="28" t="e">
        <f>IF(BD63=BE63,BH63,(((BC63-BD63)/(BE63-BD63))*BI63+(1-((BC63-BD63)/(BE63-BD63)))*BH63))</f>
        <v>#N/A</v>
      </c>
    </row>
    <row r="64" spans="2:63" s="3" customFormat="1" ht="24.95" customHeight="1" x14ac:dyDescent="0.25">
      <c r="B64" s="30"/>
      <c r="C64" s="30"/>
      <c r="D64" s="29"/>
      <c r="E64" s="30"/>
      <c r="F64" s="30"/>
      <c r="G64" s="29"/>
      <c r="H64" s="30"/>
      <c r="I64"/>
      <c r="J64" s="27">
        <f>B63+0.2</f>
        <v>0.2</v>
      </c>
      <c r="K64" s="30"/>
      <c r="L64" s="29"/>
      <c r="M64" s="30"/>
      <c r="N64" s="16" t="s">
        <v>34</v>
      </c>
      <c r="O64" s="4"/>
      <c r="P64" s="4"/>
      <c r="Q64" s="4"/>
      <c r="R64" s="4"/>
      <c r="S64" s="4"/>
      <c r="T64" s="4"/>
      <c r="U64" s="4"/>
      <c r="V64" s="4"/>
      <c r="W64" s="30"/>
      <c r="X64" s="34"/>
      <c r="Y64" s="49"/>
      <c r="Z64" s="34"/>
      <c r="AA64" s="34"/>
      <c r="AB64" s="40"/>
      <c r="AC64" s="40"/>
      <c r="AD64" s="40"/>
      <c r="AE64" s="47"/>
      <c r="AF64" s="43"/>
      <c r="AG64" s="30"/>
      <c r="AH64" s="43"/>
      <c r="AI64" s="43"/>
      <c r="AJ64" s="30"/>
      <c r="AK64" s="30"/>
      <c r="AL64" s="30"/>
      <c r="AM64" s="43"/>
      <c r="AN64" s="43"/>
      <c r="AO64" s="43"/>
      <c r="AP64" s="30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</row>
    <row r="65" spans="2:63" s="3" customFormat="1" ht="24.95" customHeight="1" x14ac:dyDescent="0.25">
      <c r="B65" s="30"/>
      <c r="C65" s="30"/>
      <c r="D65" s="29"/>
      <c r="E65" s="30"/>
      <c r="F65" s="30"/>
      <c r="G65" s="29"/>
      <c r="H65" s="30"/>
      <c r="I65"/>
      <c r="J65" s="27">
        <f>B63+0.3</f>
        <v>0.3</v>
      </c>
      <c r="K65" s="30"/>
      <c r="L65" s="29"/>
      <c r="M65" s="30"/>
      <c r="N65" s="16" t="s">
        <v>35</v>
      </c>
      <c r="O65" s="6">
        <f>O64-O63</f>
        <v>0</v>
      </c>
      <c r="P65" s="6">
        <f t="shared" ref="P65" si="112">P64-P63</f>
        <v>0</v>
      </c>
      <c r="Q65" s="6">
        <f t="shared" ref="Q65" si="113">Q64-Q63</f>
        <v>0</v>
      </c>
      <c r="R65" s="6">
        <f t="shared" ref="R65" si="114">R64-R63</f>
        <v>0</v>
      </c>
      <c r="S65" s="6">
        <f t="shared" ref="S65" si="115">S64-S63</f>
        <v>0</v>
      </c>
      <c r="T65" s="6">
        <f t="shared" ref="T65" si="116">T64-T63</f>
        <v>0</v>
      </c>
      <c r="U65" s="6">
        <f t="shared" ref="U65" si="117">U64-U63</f>
        <v>0</v>
      </c>
      <c r="V65" s="6">
        <f t="shared" ref="V65" si="118">V64-V63</f>
        <v>0</v>
      </c>
      <c r="W65" s="30"/>
      <c r="X65" s="34"/>
      <c r="Y65" s="49"/>
      <c r="Z65" s="34"/>
      <c r="AA65" s="34"/>
      <c r="AB65" s="40"/>
      <c r="AC65" s="40"/>
      <c r="AD65" s="40"/>
      <c r="AE65" s="47"/>
      <c r="AF65" s="43"/>
      <c r="AG65" s="30"/>
      <c r="AH65" s="43"/>
      <c r="AI65" s="43"/>
      <c r="AJ65" s="30"/>
      <c r="AK65" s="30"/>
      <c r="AL65" s="30"/>
      <c r="AM65" s="43"/>
      <c r="AN65" s="43"/>
      <c r="AO65" s="43"/>
      <c r="AP65" s="30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</row>
    <row r="66" spans="2:63" s="3" customFormat="1" ht="24.95" customHeight="1" x14ac:dyDescent="0.25">
      <c r="B66" s="30"/>
      <c r="C66" s="30"/>
      <c r="D66" s="29"/>
      <c r="E66" s="30"/>
      <c r="F66" s="30"/>
      <c r="G66" s="29"/>
      <c r="H66" s="30"/>
      <c r="I66"/>
      <c r="J66" s="27">
        <f>B63+0.4</f>
        <v>0.4</v>
      </c>
      <c r="K66" s="30"/>
      <c r="L66" s="29"/>
      <c r="M66" s="30"/>
      <c r="N66" s="16" t="s">
        <v>37</v>
      </c>
      <c r="O66" s="6"/>
      <c r="P66" s="6"/>
      <c r="Q66" s="6"/>
      <c r="R66" s="6"/>
      <c r="S66" s="6"/>
      <c r="T66" s="6"/>
      <c r="U66" s="6"/>
      <c r="V66" s="6"/>
      <c r="W66" s="30"/>
      <c r="X66" s="42">
        <f>1-Y66-AA66</f>
        <v>1</v>
      </c>
      <c r="Y66" s="42">
        <f>Y63/1000*(1-AA63/1000)</f>
        <v>0</v>
      </c>
      <c r="Z66" s="42">
        <f>X66+Y66</f>
        <v>1</v>
      </c>
      <c r="AA66" s="42">
        <f>AA63/1000</f>
        <v>0</v>
      </c>
      <c r="AB66" s="40"/>
      <c r="AC66" s="40"/>
      <c r="AD66" s="40"/>
      <c r="AE66" s="47"/>
      <c r="AF66" s="43"/>
      <c r="AG66" s="30"/>
      <c r="AH66" s="43"/>
      <c r="AI66" s="43"/>
      <c r="AJ66" s="30"/>
      <c r="AK66" s="30"/>
      <c r="AL66" s="30"/>
      <c r="AM66" s="43"/>
      <c r="AN66" s="43"/>
      <c r="AO66" s="43"/>
      <c r="AP66" s="30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</row>
    <row r="67" spans="2:63" s="3" customFormat="1" ht="24.95" customHeight="1" x14ac:dyDescent="0.25">
      <c r="B67" s="30"/>
      <c r="C67" s="30"/>
      <c r="D67" s="29"/>
      <c r="E67" s="30"/>
      <c r="F67" s="30"/>
      <c r="G67" s="29"/>
      <c r="H67" s="30"/>
      <c r="I67"/>
      <c r="J67" s="27">
        <f>B63+0.5</f>
        <v>0.5</v>
      </c>
      <c r="K67" s="30"/>
      <c r="L67" s="29"/>
      <c r="M67" s="30"/>
      <c r="N67" s="16" t="s">
        <v>36</v>
      </c>
      <c r="O67" s="6">
        <f>O66-O63</f>
        <v>0</v>
      </c>
      <c r="P67" s="6">
        <f t="shared" ref="P67" si="119">P66-P63</f>
        <v>0</v>
      </c>
      <c r="Q67" s="6">
        <f t="shared" ref="Q67" si="120">Q66-Q63</f>
        <v>0</v>
      </c>
      <c r="R67" s="6">
        <f t="shared" ref="R67" si="121">R66-R63</f>
        <v>0</v>
      </c>
      <c r="S67" s="6">
        <f t="shared" ref="S67" si="122">S66-S63</f>
        <v>0</v>
      </c>
      <c r="T67" s="6">
        <f t="shared" ref="T67" si="123">T66-T63</f>
        <v>0</v>
      </c>
      <c r="U67" s="6">
        <f t="shared" ref="U67" si="124">U66-U63</f>
        <v>0</v>
      </c>
      <c r="V67" s="6">
        <f t="shared" ref="V67" si="125">V66-V63</f>
        <v>0</v>
      </c>
      <c r="W67" s="30"/>
      <c r="X67" s="42"/>
      <c r="Y67" s="42"/>
      <c r="Z67" s="42"/>
      <c r="AA67" s="42"/>
      <c r="AB67" s="41"/>
      <c r="AC67" s="41"/>
      <c r="AD67" s="41"/>
      <c r="AE67" s="48"/>
      <c r="AF67" s="35"/>
      <c r="AG67" s="30"/>
      <c r="AH67" s="35"/>
      <c r="AI67" s="35"/>
      <c r="AJ67" s="30"/>
      <c r="AK67" s="30"/>
      <c r="AL67" s="30"/>
      <c r="AM67" s="35"/>
      <c r="AN67" s="35"/>
      <c r="AO67" s="35"/>
      <c r="AP67" s="30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</row>
    <row r="68" spans="2:63" s="3" customFormat="1" ht="24.95" customHeight="1" x14ac:dyDescent="0.25">
      <c r="B68" s="29"/>
      <c r="C68" s="29"/>
      <c r="D68" s="30"/>
      <c r="E68" s="30"/>
      <c r="F68" s="29"/>
      <c r="G68" s="30"/>
      <c r="H68" s="30"/>
      <c r="I68"/>
      <c r="J68" s="27">
        <f>B68+0.1</f>
        <v>0.1</v>
      </c>
      <c r="K68" s="44"/>
      <c r="L68" s="30"/>
      <c r="M68" s="30"/>
      <c r="N68" s="16" t="s">
        <v>33</v>
      </c>
      <c r="O68" s="4"/>
      <c r="P68" s="4"/>
      <c r="Q68" s="4"/>
      <c r="R68" s="4"/>
      <c r="S68" s="4"/>
      <c r="T68" s="4"/>
      <c r="U68" s="4"/>
      <c r="V68" s="4"/>
      <c r="W68" s="34" t="str">
        <f t="shared" ref="W68" si="126">IF(AA68&gt;500,"LV",IF(Y68&gt;500,"Flat","Luma"))</f>
        <v>Luma</v>
      </c>
      <c r="X68" s="34"/>
      <c r="Y68" s="49"/>
      <c r="Z68" s="34">
        <f>X68*Y68/1000</f>
        <v>0</v>
      </c>
      <c r="AA68" s="34">
        <f>IF(AE68&gt;AD68,AR68,0)</f>
        <v>0</v>
      </c>
      <c r="AB68" s="39"/>
      <c r="AC68" s="39"/>
      <c r="AD68" s="39"/>
      <c r="AE68" s="46">
        <f>((AG68-(AH68*10))/10)*_xlfn.XLOOKUP(AI68,$R$2:$AJ$2,$R$3:$AJ$3)+(1-((AG68-(AH68*10))/10))*_xlfn.XLOOKUP(AH68,$R$2:$AJ$2,$R$3:$AJ$3)</f>
        <v>0</v>
      </c>
      <c r="AF68" s="31">
        <f>ROUND(AE68*Z68/1000+AD68*(1-Z68/1000),0)</f>
        <v>0</v>
      </c>
      <c r="AG68" s="34"/>
      <c r="AH68" s="31">
        <f>ROUNDDOWN(AG68/10,0)</f>
        <v>0</v>
      </c>
      <c r="AI68" s="31">
        <f>AH68+1</f>
        <v>1</v>
      </c>
      <c r="AJ68" s="34"/>
      <c r="AK68" s="31">
        <f>IF(AJ68&lt;0,0,IF(AJ68&gt;1000,10,ROUNDDOWN(AJ68/100,0)))</f>
        <v>0</v>
      </c>
      <c r="AL68" s="31">
        <f>IF(AJ68&lt;0,1,IF(AJ68&gt;1000,10,AK68+1))</f>
        <v>1</v>
      </c>
      <c r="AM68" s="34" t="e">
        <f>IF(AJ68&lt;0,INT(AS68+((AT68-AS68)*(AG68-AH68*10)/(AI68*10-AH68*10))),IF(AJ68&gt;1000,(AU68+((AV68-AU68)*(AG68-AH68*10)/(AI68*10-AH68*10))),BA68))</f>
        <v>#VALUE!</v>
      </c>
      <c r="AN68" s="31" t="e">
        <f>IF(AJ68&lt;0,INT(AW68+((AX68-AW68)*(AG68-AH68*10)/(AI68*10-AH68*10))),IF(AJ68&gt;1000,(AY68+((AZ68-AY68)*(AG68-AH68*10)/(AI68*10-AH68*10))),BB68))</f>
        <v>#VALUE!</v>
      </c>
      <c r="AO68" s="31"/>
      <c r="AP68" s="31"/>
      <c r="AR68" s="28"/>
      <c r="AS68" s="28" t="e">
        <f>HLOOKUP(AH68,$AQ$6:$BJ$17,AK68+2,FALSE)</f>
        <v>#VALUE!</v>
      </c>
      <c r="AT68" s="28" t="e">
        <f>HLOOKUP(AI68,$AQ$6:$BJ$17,AK68+2,FALSE)</f>
        <v>#VALUE!</v>
      </c>
      <c r="AU68" s="28" t="e">
        <f>HLOOKUP(AH68,$AQ$6:$BJ$17,AL68+2,FALSE)</f>
        <v>#VALUE!</v>
      </c>
      <c r="AV68" s="28" t="e">
        <f>VLOOKUP(AL68,$AQ$6:$BJ$17,AI68+2,FALSE)</f>
        <v>#VALUE!</v>
      </c>
      <c r="AW68" s="28" t="e">
        <f>HLOOKUP(AH68,$BK$6:$CD$17,AK68+2,FALSE)</f>
        <v>#VALUE!</v>
      </c>
      <c r="AX68" s="28" t="e">
        <f>HLOOKUP(AI68,$BK$6:$CD$17,AK68+2,FALSE)</f>
        <v>#VALUE!</v>
      </c>
      <c r="AY68" s="28" t="e">
        <f>HLOOKUP(AH68,$BK$6:$CD$17,AL68+2,FALSE)</f>
        <v>#VALUE!</v>
      </c>
      <c r="AZ68" s="28" t="e">
        <f>HLOOKUP(AI68,$BK$6:$CD$17,AL68+2,FALSE)</f>
        <v>#VALUE!</v>
      </c>
      <c r="BA68" s="28" t="e">
        <f>INT((AS68+((AT68-AS68)*(AG68-AH68*10)/(AI68*10-AH68*10)))+(((AU68+((AV68-AU68)*(AG68-AH68*10)/(AJ68*10-AH68*10)))-(AS68+((AT68-AS68)*(AG68-AH68*10)/(AI68*10-AH68*10))))*(AJ68-AK68*100)/(AL68*100-AK68*100)))</f>
        <v>#VALUE!</v>
      </c>
      <c r="BB68" s="28" t="e">
        <f>INT((AW68+((AX68-AW68)*(AG68-AH68*10)/(AI68*10-AH68*10)))+(((AY68+((AZ68-AY68)*(AG68-AH68*10)/(AJ68*10-AH68*10)))-(AW68+((AX68-AW68)*(AG68-AH68*10)/(AI68*10-AH68*10))))*(AJ68-AK68*100)/(AL68*100-AK68*100)))</f>
        <v>#VALUE!</v>
      </c>
      <c r="BC68" s="28">
        <f>IF(AG68-50&lt;$D$15,$D$15,AG68-50)</f>
        <v>0</v>
      </c>
      <c r="BD68" s="28" t="e">
        <f>_xlfn.XLOOKUP(BC68,$D$15:$H$15,$D$15:$H$15,,-1)</f>
        <v>#N/A</v>
      </c>
      <c r="BE68" s="28">
        <f>_xlfn.XLOOKUP(BC68,$D$15:$H$15,$D$15:$H$15,,1)</f>
        <v>0</v>
      </c>
      <c r="BF68" s="28" t="e">
        <f>_xlfn.XLOOKUP(BC68,$D$15:$H$15,$D$16:$H$16,,-1)</f>
        <v>#N/A</v>
      </c>
      <c r="BG68" s="28">
        <f>_xlfn.XLOOKUP(BC68,$D$15:$H$15,$D$16:$H$16,,1)</f>
        <v>0</v>
      </c>
      <c r="BH68" s="28" t="e">
        <f>_xlfn.XLOOKUP(BC68,$D$15:$H$15,$D$17:$H$17,,-1)</f>
        <v>#N/A</v>
      </c>
      <c r="BI68" s="28">
        <f>_xlfn.XLOOKUP(BC68,$D$15:$H$15,$D$17:$H$17,,1)</f>
        <v>0</v>
      </c>
      <c r="BJ68" s="28" t="e">
        <f>IF(BD68=BE68,BF68,(((BC68-BD68)/(BE68-BD68))*BG68+(1-((BC68-BD68)/(BE68-BD68)))*BF68))</f>
        <v>#N/A</v>
      </c>
      <c r="BK68" s="28" t="e">
        <f>IF(BD68=BE68,BH68,(((BC68-BD68)/(BE68-BD68))*BI68+(1-((BC68-BD68)/(BE68-BD68)))*BH68))</f>
        <v>#N/A</v>
      </c>
    </row>
    <row r="69" spans="2:63" s="3" customFormat="1" ht="24.95" customHeight="1" x14ac:dyDescent="0.25">
      <c r="B69" s="30"/>
      <c r="C69" s="30"/>
      <c r="D69" s="29"/>
      <c r="E69" s="30"/>
      <c r="F69" s="30"/>
      <c r="G69" s="29"/>
      <c r="H69" s="30"/>
      <c r="I69"/>
      <c r="J69" s="27">
        <f>B68+0.2</f>
        <v>0.2</v>
      </c>
      <c r="K69" s="30"/>
      <c r="L69" s="29"/>
      <c r="M69" s="30"/>
      <c r="N69" s="16" t="s">
        <v>34</v>
      </c>
      <c r="O69" s="4"/>
      <c r="P69" s="4"/>
      <c r="Q69" s="4"/>
      <c r="R69" s="4"/>
      <c r="S69" s="4"/>
      <c r="T69" s="4"/>
      <c r="U69" s="4"/>
      <c r="V69" s="4"/>
      <c r="W69" s="30"/>
      <c r="X69" s="34"/>
      <c r="Y69" s="49"/>
      <c r="Z69" s="34"/>
      <c r="AA69" s="34"/>
      <c r="AB69" s="40"/>
      <c r="AC69" s="40"/>
      <c r="AD69" s="40"/>
      <c r="AE69" s="47"/>
      <c r="AF69" s="43"/>
      <c r="AG69" s="30"/>
      <c r="AH69" s="43"/>
      <c r="AI69" s="43"/>
      <c r="AJ69" s="30"/>
      <c r="AK69" s="30"/>
      <c r="AL69" s="30"/>
      <c r="AM69" s="43"/>
      <c r="AN69" s="43"/>
      <c r="AO69" s="43"/>
      <c r="AP69" s="30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</row>
    <row r="70" spans="2:63" s="3" customFormat="1" ht="24.95" customHeight="1" x14ac:dyDescent="0.25">
      <c r="B70" s="30"/>
      <c r="C70" s="30"/>
      <c r="D70" s="29"/>
      <c r="E70" s="30"/>
      <c r="F70" s="30"/>
      <c r="G70" s="29"/>
      <c r="H70" s="30"/>
      <c r="I70"/>
      <c r="J70" s="27">
        <f>B68+0.3</f>
        <v>0.3</v>
      </c>
      <c r="K70" s="30"/>
      <c r="L70" s="29"/>
      <c r="M70" s="30"/>
      <c r="N70" s="16" t="s">
        <v>35</v>
      </c>
      <c r="O70" s="6">
        <f>O69-O68</f>
        <v>0</v>
      </c>
      <c r="P70" s="6">
        <f t="shared" ref="P70" si="127">P69-P68</f>
        <v>0</v>
      </c>
      <c r="Q70" s="6">
        <f t="shared" ref="Q70" si="128">Q69-Q68</f>
        <v>0</v>
      </c>
      <c r="R70" s="6">
        <f t="shared" ref="R70" si="129">R69-R68</f>
        <v>0</v>
      </c>
      <c r="S70" s="6">
        <f t="shared" ref="S70" si="130">S69-S68</f>
        <v>0</v>
      </c>
      <c r="T70" s="6">
        <f t="shared" ref="T70" si="131">T69-T68</f>
        <v>0</v>
      </c>
      <c r="U70" s="6">
        <f t="shared" ref="U70" si="132">U69-U68</f>
        <v>0</v>
      </c>
      <c r="V70" s="6">
        <f t="shared" ref="V70" si="133">V69-V68</f>
        <v>0</v>
      </c>
      <c r="W70" s="30"/>
      <c r="X70" s="34"/>
      <c r="Y70" s="49"/>
      <c r="Z70" s="34"/>
      <c r="AA70" s="34"/>
      <c r="AB70" s="40"/>
      <c r="AC70" s="40"/>
      <c r="AD70" s="40"/>
      <c r="AE70" s="47"/>
      <c r="AF70" s="43"/>
      <c r="AG70" s="30"/>
      <c r="AH70" s="43"/>
      <c r="AI70" s="43"/>
      <c r="AJ70" s="30"/>
      <c r="AK70" s="30"/>
      <c r="AL70" s="30"/>
      <c r="AM70" s="43"/>
      <c r="AN70" s="43"/>
      <c r="AO70" s="43"/>
      <c r="AP70" s="30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</row>
    <row r="71" spans="2:63" s="3" customFormat="1" ht="24.95" customHeight="1" x14ac:dyDescent="0.25">
      <c r="B71" s="30"/>
      <c r="C71" s="30"/>
      <c r="D71" s="29"/>
      <c r="E71" s="30"/>
      <c r="F71" s="30"/>
      <c r="G71" s="29"/>
      <c r="H71" s="30"/>
      <c r="I71"/>
      <c r="J71" s="27">
        <f>B68+0.4</f>
        <v>0.4</v>
      </c>
      <c r="K71" s="30"/>
      <c r="L71" s="29"/>
      <c r="M71" s="30"/>
      <c r="N71" s="16" t="s">
        <v>37</v>
      </c>
      <c r="O71" s="6"/>
      <c r="P71" s="6"/>
      <c r="Q71" s="6"/>
      <c r="R71" s="6"/>
      <c r="S71" s="6"/>
      <c r="T71" s="6"/>
      <c r="U71" s="6"/>
      <c r="V71" s="6"/>
      <c r="W71" s="30"/>
      <c r="X71" s="42">
        <f>1-Y71-AA71</f>
        <v>1</v>
      </c>
      <c r="Y71" s="42">
        <f>Y68/1000*(1-AA68/1000)</f>
        <v>0</v>
      </c>
      <c r="Z71" s="42">
        <f>X71+Y71</f>
        <v>1</v>
      </c>
      <c r="AA71" s="42">
        <f>AA68/1000</f>
        <v>0</v>
      </c>
      <c r="AB71" s="40"/>
      <c r="AC71" s="40"/>
      <c r="AD71" s="40"/>
      <c r="AE71" s="47"/>
      <c r="AF71" s="43"/>
      <c r="AG71" s="30"/>
      <c r="AH71" s="43"/>
      <c r="AI71" s="43"/>
      <c r="AJ71" s="30"/>
      <c r="AK71" s="30"/>
      <c r="AL71" s="30"/>
      <c r="AM71" s="43"/>
      <c r="AN71" s="43"/>
      <c r="AO71" s="43"/>
      <c r="AP71" s="30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</row>
    <row r="72" spans="2:63" s="3" customFormat="1" ht="24.95" customHeight="1" x14ac:dyDescent="0.25">
      <c r="B72" s="30"/>
      <c r="C72" s="30"/>
      <c r="D72" s="29"/>
      <c r="E72" s="30"/>
      <c r="F72" s="30"/>
      <c r="G72" s="29"/>
      <c r="H72" s="30"/>
      <c r="I72"/>
      <c r="J72" s="27">
        <f>B68+0.5</f>
        <v>0.5</v>
      </c>
      <c r="K72" s="30"/>
      <c r="L72" s="29"/>
      <c r="M72" s="30"/>
      <c r="N72" s="16" t="s">
        <v>36</v>
      </c>
      <c r="O72" s="6">
        <f>O71-O68</f>
        <v>0</v>
      </c>
      <c r="P72" s="6">
        <f t="shared" ref="P72" si="134">P71-P68</f>
        <v>0</v>
      </c>
      <c r="Q72" s="6">
        <f t="shared" ref="Q72" si="135">Q71-Q68</f>
        <v>0</v>
      </c>
      <c r="R72" s="6">
        <f t="shared" ref="R72" si="136">R71-R68</f>
        <v>0</v>
      </c>
      <c r="S72" s="6">
        <f t="shared" ref="S72" si="137">S71-S68</f>
        <v>0</v>
      </c>
      <c r="T72" s="6">
        <f t="shared" ref="T72" si="138">T71-T68</f>
        <v>0</v>
      </c>
      <c r="U72" s="6">
        <f t="shared" ref="U72" si="139">U71-U68</f>
        <v>0</v>
      </c>
      <c r="V72" s="6">
        <f t="shared" ref="V72" si="140">V71-V68</f>
        <v>0</v>
      </c>
      <c r="W72" s="30"/>
      <c r="X72" s="42"/>
      <c r="Y72" s="42"/>
      <c r="Z72" s="42"/>
      <c r="AA72" s="42"/>
      <c r="AB72" s="41"/>
      <c r="AC72" s="41"/>
      <c r="AD72" s="41"/>
      <c r="AE72" s="48"/>
      <c r="AF72" s="35"/>
      <c r="AG72" s="30"/>
      <c r="AH72" s="35"/>
      <c r="AI72" s="35"/>
      <c r="AJ72" s="30"/>
      <c r="AK72" s="30"/>
      <c r="AL72" s="30"/>
      <c r="AM72" s="35"/>
      <c r="AN72" s="35"/>
      <c r="AO72" s="35"/>
      <c r="AP72" s="30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</row>
    <row r="73" spans="2:63" s="3" customFormat="1" ht="24.95" customHeight="1" x14ac:dyDescent="0.25">
      <c r="B73" s="29"/>
      <c r="C73" s="29"/>
      <c r="D73" s="30"/>
      <c r="E73" s="30"/>
      <c r="F73" s="29"/>
      <c r="G73" s="30"/>
      <c r="H73" s="30"/>
      <c r="I73"/>
      <c r="J73" s="27">
        <f>B73+0.1</f>
        <v>0.1</v>
      </c>
      <c r="K73" s="44"/>
      <c r="L73" s="30"/>
      <c r="M73" s="30"/>
      <c r="N73" s="16" t="s">
        <v>33</v>
      </c>
      <c r="O73" s="4"/>
      <c r="P73" s="4"/>
      <c r="Q73" s="4"/>
      <c r="R73" s="4"/>
      <c r="S73" s="4"/>
      <c r="T73" s="4"/>
      <c r="U73" s="4"/>
      <c r="V73" s="4"/>
      <c r="W73" s="34" t="str">
        <f t="shared" ref="W73" si="141">IF(AA73&gt;500,"LV",IF(Y73&gt;500,"Flat","Luma"))</f>
        <v>Luma</v>
      </c>
      <c r="X73" s="34"/>
      <c r="Y73" s="49"/>
      <c r="Z73" s="34">
        <f>X73*Y73/1000</f>
        <v>0</v>
      </c>
      <c r="AA73" s="34">
        <f>IF(AE73&gt;AD73,AR73,0)</f>
        <v>0</v>
      </c>
      <c r="AB73" s="39"/>
      <c r="AC73" s="39"/>
      <c r="AD73" s="39"/>
      <c r="AE73" s="46">
        <f>((AG73-(AH73*10))/10)*_xlfn.XLOOKUP(AI73,$R$2:$AJ$2,$R$3:$AJ$3)+(1-((AG73-(AH73*10))/10))*_xlfn.XLOOKUP(AH73,$R$2:$AJ$2,$R$3:$AJ$3)</f>
        <v>0</v>
      </c>
      <c r="AF73" s="31">
        <f>ROUND(AE73*Z73/1000+AD73*(1-Z73/1000),0)</f>
        <v>0</v>
      </c>
      <c r="AG73" s="34"/>
      <c r="AH73" s="31">
        <f>ROUNDDOWN(AG73/10,0)</f>
        <v>0</v>
      </c>
      <c r="AI73" s="31">
        <f>AH73+1</f>
        <v>1</v>
      </c>
      <c r="AJ73" s="34"/>
      <c r="AK73" s="31">
        <f>IF(AJ73&lt;0,0,IF(AJ73&gt;1000,10,ROUNDDOWN(AJ73/100,0)))</f>
        <v>0</v>
      </c>
      <c r="AL73" s="31">
        <f>IF(AJ73&lt;0,1,IF(AJ73&gt;1000,10,AK73+1))</f>
        <v>1</v>
      </c>
      <c r="AM73" s="34" t="e">
        <f>IF(AJ73&lt;0,INT(AS73+((AT73-AS73)*(AG73-AH73*10)/(AI73*10-AH73*10))),IF(AJ73&gt;1000,(AU73+((AV73-AU73)*(AG73-AH73*10)/(AI73*10-AH73*10))),BA73))</f>
        <v>#VALUE!</v>
      </c>
      <c r="AN73" s="31" t="e">
        <f>IF(AJ73&lt;0,INT(AW73+((AX73-AW73)*(AG73-AH73*10)/(AI73*10-AH73*10))),IF(AJ73&gt;1000,(AY73+((AZ73-AY73)*(AG73-AH73*10)/(AI73*10-AH73*10))),BB73))</f>
        <v>#VALUE!</v>
      </c>
      <c r="AO73" s="31"/>
      <c r="AP73" s="31"/>
      <c r="AR73" s="28"/>
      <c r="AS73" s="28" t="e">
        <f>HLOOKUP(AH73,$AQ$6:$BJ$17,AK73+2,FALSE)</f>
        <v>#VALUE!</v>
      </c>
      <c r="AT73" s="28" t="e">
        <f>HLOOKUP(AI73,$AQ$6:$BJ$17,AK73+2,FALSE)</f>
        <v>#VALUE!</v>
      </c>
      <c r="AU73" s="28" t="e">
        <f>HLOOKUP(AH73,$AQ$6:$BJ$17,AL73+2,FALSE)</f>
        <v>#VALUE!</v>
      </c>
      <c r="AV73" s="28" t="e">
        <f>VLOOKUP(AL73,$AQ$6:$BJ$17,AI73+2,FALSE)</f>
        <v>#VALUE!</v>
      </c>
      <c r="AW73" s="28" t="e">
        <f>HLOOKUP(AH73,$BK$6:$CD$17,AK73+2,FALSE)</f>
        <v>#VALUE!</v>
      </c>
      <c r="AX73" s="28" t="e">
        <f>HLOOKUP(AI73,$BK$6:$CD$17,AK73+2,FALSE)</f>
        <v>#VALUE!</v>
      </c>
      <c r="AY73" s="28" t="e">
        <f>HLOOKUP(AH73,$BK$6:$CD$17,AL73+2,FALSE)</f>
        <v>#VALUE!</v>
      </c>
      <c r="AZ73" s="28" t="e">
        <f>HLOOKUP(AI73,$BK$6:$CD$17,AL73+2,FALSE)</f>
        <v>#VALUE!</v>
      </c>
      <c r="BA73" s="28" t="e">
        <f>INT((AS73+((AT73-AS73)*(AG73-AH73*10)/(AI73*10-AH73*10)))+(((AU73+((AV73-AU73)*(AG73-AH73*10)/(AJ73*10-AH73*10)))-(AS73+((AT73-AS73)*(AG73-AH73*10)/(AI73*10-AH73*10))))*(AJ73-AK73*100)/(AL73*100-AK73*100)))</f>
        <v>#VALUE!</v>
      </c>
      <c r="BB73" s="28" t="e">
        <f>INT((AW73+((AX73-AW73)*(AG73-AH73*10)/(AI73*10-AH73*10)))+(((AY73+((AZ73-AY73)*(AG73-AH73*10)/(AJ73*10-AH73*10)))-(AW73+((AX73-AW73)*(AG73-AH73*10)/(AI73*10-AH73*10))))*(AJ73-AK73*100)/(AL73*100-AK73*100)))</f>
        <v>#VALUE!</v>
      </c>
      <c r="BC73" s="28">
        <f>IF(AG73-50&lt;$D$15,$D$15,AG73-50)</f>
        <v>0</v>
      </c>
      <c r="BD73" s="28" t="e">
        <f>_xlfn.XLOOKUP(BC73,$D$15:$H$15,$D$15:$H$15,,-1)</f>
        <v>#N/A</v>
      </c>
      <c r="BE73" s="28">
        <f>_xlfn.XLOOKUP(BC73,$D$15:$H$15,$D$15:$H$15,,1)</f>
        <v>0</v>
      </c>
      <c r="BF73" s="28" t="e">
        <f>_xlfn.XLOOKUP(BC73,$D$15:$H$15,$D$16:$H$16,,-1)</f>
        <v>#N/A</v>
      </c>
      <c r="BG73" s="28">
        <f>_xlfn.XLOOKUP(BC73,$D$15:$H$15,$D$16:$H$16,,1)</f>
        <v>0</v>
      </c>
      <c r="BH73" s="28" t="e">
        <f>_xlfn.XLOOKUP(BC73,$D$15:$H$15,$D$17:$H$17,,-1)</f>
        <v>#N/A</v>
      </c>
      <c r="BI73" s="28">
        <f>_xlfn.XLOOKUP(BC73,$D$15:$H$15,$D$17:$H$17,,1)</f>
        <v>0</v>
      </c>
      <c r="BJ73" s="28" t="e">
        <f>IF(BD73=BE73,BF73,(((BC73-BD73)/(BE73-BD73))*BG73+(1-((BC73-BD73)/(BE73-BD73)))*BF73))</f>
        <v>#N/A</v>
      </c>
      <c r="BK73" s="28" t="e">
        <f>IF(BD73=BE73,BH73,(((BC73-BD73)/(BE73-BD73))*BI73+(1-((BC73-BD73)/(BE73-BD73)))*BH73))</f>
        <v>#N/A</v>
      </c>
    </row>
    <row r="74" spans="2:63" s="3" customFormat="1" ht="24.95" customHeight="1" x14ac:dyDescent="0.25">
      <c r="B74" s="30"/>
      <c r="C74" s="30"/>
      <c r="D74" s="29"/>
      <c r="E74" s="30"/>
      <c r="F74" s="30"/>
      <c r="G74" s="29"/>
      <c r="H74" s="30"/>
      <c r="I74"/>
      <c r="J74" s="27">
        <f>B73+0.2</f>
        <v>0.2</v>
      </c>
      <c r="K74" s="30"/>
      <c r="L74" s="29"/>
      <c r="M74" s="30"/>
      <c r="N74" s="16" t="s">
        <v>34</v>
      </c>
      <c r="O74" s="4"/>
      <c r="P74" s="4"/>
      <c r="Q74" s="4"/>
      <c r="R74" s="4"/>
      <c r="S74" s="4"/>
      <c r="T74" s="4"/>
      <c r="U74" s="4"/>
      <c r="V74" s="4"/>
      <c r="W74" s="30"/>
      <c r="X74" s="34"/>
      <c r="Y74" s="49"/>
      <c r="Z74" s="34"/>
      <c r="AA74" s="34"/>
      <c r="AB74" s="40"/>
      <c r="AC74" s="40"/>
      <c r="AD74" s="40"/>
      <c r="AE74" s="47"/>
      <c r="AF74" s="43"/>
      <c r="AG74" s="30"/>
      <c r="AH74" s="43"/>
      <c r="AI74" s="43"/>
      <c r="AJ74" s="30"/>
      <c r="AK74" s="30"/>
      <c r="AL74" s="30"/>
      <c r="AM74" s="43"/>
      <c r="AN74" s="43"/>
      <c r="AO74" s="43"/>
      <c r="AP74" s="30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</row>
    <row r="75" spans="2:63" s="3" customFormat="1" ht="24.95" customHeight="1" x14ac:dyDescent="0.25">
      <c r="B75" s="30"/>
      <c r="C75" s="30"/>
      <c r="D75" s="29"/>
      <c r="E75" s="30"/>
      <c r="F75" s="30"/>
      <c r="G75" s="29"/>
      <c r="H75" s="30"/>
      <c r="I75"/>
      <c r="J75" s="27">
        <f>B73+0.3</f>
        <v>0.3</v>
      </c>
      <c r="K75" s="30"/>
      <c r="L75" s="29"/>
      <c r="M75" s="30"/>
      <c r="N75" s="16" t="s">
        <v>35</v>
      </c>
      <c r="O75" s="6">
        <f>O74-O73</f>
        <v>0</v>
      </c>
      <c r="P75" s="6">
        <f t="shared" ref="P75" si="142">P74-P73</f>
        <v>0</v>
      </c>
      <c r="Q75" s="6">
        <f t="shared" ref="Q75" si="143">Q74-Q73</f>
        <v>0</v>
      </c>
      <c r="R75" s="6">
        <f t="shared" ref="R75" si="144">R74-R73</f>
        <v>0</v>
      </c>
      <c r="S75" s="6">
        <f t="shared" ref="S75" si="145">S74-S73</f>
        <v>0</v>
      </c>
      <c r="T75" s="6">
        <f t="shared" ref="T75" si="146">T74-T73</f>
        <v>0</v>
      </c>
      <c r="U75" s="6">
        <f t="shared" ref="U75" si="147">U74-U73</f>
        <v>0</v>
      </c>
      <c r="V75" s="6">
        <f t="shared" ref="V75" si="148">V74-V73</f>
        <v>0</v>
      </c>
      <c r="W75" s="30"/>
      <c r="X75" s="34"/>
      <c r="Y75" s="49"/>
      <c r="Z75" s="34"/>
      <c r="AA75" s="34"/>
      <c r="AB75" s="40"/>
      <c r="AC75" s="40"/>
      <c r="AD75" s="40"/>
      <c r="AE75" s="47"/>
      <c r="AF75" s="43"/>
      <c r="AG75" s="30"/>
      <c r="AH75" s="43"/>
      <c r="AI75" s="43"/>
      <c r="AJ75" s="30"/>
      <c r="AK75" s="30"/>
      <c r="AL75" s="30"/>
      <c r="AM75" s="43"/>
      <c r="AN75" s="43"/>
      <c r="AO75" s="43"/>
      <c r="AP75" s="30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</row>
    <row r="76" spans="2:63" s="3" customFormat="1" ht="24.95" customHeight="1" x14ac:dyDescent="0.25">
      <c r="B76" s="30"/>
      <c r="C76" s="30"/>
      <c r="D76" s="29"/>
      <c r="E76" s="30"/>
      <c r="F76" s="30"/>
      <c r="G76" s="29"/>
      <c r="H76" s="30"/>
      <c r="I76"/>
      <c r="J76" s="27">
        <f>B73+0.4</f>
        <v>0.4</v>
      </c>
      <c r="K76" s="30"/>
      <c r="L76" s="29"/>
      <c r="M76" s="30"/>
      <c r="N76" s="16" t="s">
        <v>37</v>
      </c>
      <c r="O76" s="6"/>
      <c r="P76" s="6"/>
      <c r="Q76" s="6"/>
      <c r="R76" s="6"/>
      <c r="S76" s="6"/>
      <c r="T76" s="6"/>
      <c r="U76" s="6"/>
      <c r="V76" s="6"/>
      <c r="W76" s="30"/>
      <c r="X76" s="42">
        <f>1-Y76-AA76</f>
        <v>1</v>
      </c>
      <c r="Y76" s="42">
        <f>Y73/1000*(1-AA73/1000)</f>
        <v>0</v>
      </c>
      <c r="Z76" s="42">
        <f>X76+Y76</f>
        <v>1</v>
      </c>
      <c r="AA76" s="42">
        <f>AA73/1000</f>
        <v>0</v>
      </c>
      <c r="AB76" s="40"/>
      <c r="AC76" s="40"/>
      <c r="AD76" s="40"/>
      <c r="AE76" s="47"/>
      <c r="AF76" s="43"/>
      <c r="AG76" s="30"/>
      <c r="AH76" s="43"/>
      <c r="AI76" s="43"/>
      <c r="AJ76" s="30"/>
      <c r="AK76" s="30"/>
      <c r="AL76" s="30"/>
      <c r="AM76" s="43"/>
      <c r="AN76" s="43"/>
      <c r="AO76" s="43"/>
      <c r="AP76" s="30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</row>
    <row r="77" spans="2:63" s="3" customFormat="1" ht="24.95" customHeight="1" x14ac:dyDescent="0.25">
      <c r="B77" s="30"/>
      <c r="C77" s="30"/>
      <c r="D77" s="29"/>
      <c r="E77" s="30"/>
      <c r="F77" s="30"/>
      <c r="G77" s="29"/>
      <c r="H77" s="30"/>
      <c r="I77"/>
      <c r="J77" s="27">
        <f>B73+0.5</f>
        <v>0.5</v>
      </c>
      <c r="K77" s="30"/>
      <c r="L77" s="29"/>
      <c r="M77" s="30"/>
      <c r="N77" s="16" t="s">
        <v>36</v>
      </c>
      <c r="O77" s="6">
        <f>O76-O73</f>
        <v>0</v>
      </c>
      <c r="P77" s="6">
        <f t="shared" ref="P77" si="149">P76-P73</f>
        <v>0</v>
      </c>
      <c r="Q77" s="6">
        <f t="shared" ref="Q77" si="150">Q76-Q73</f>
        <v>0</v>
      </c>
      <c r="R77" s="6">
        <f t="shared" ref="R77" si="151">R76-R73</f>
        <v>0</v>
      </c>
      <c r="S77" s="6">
        <f t="shared" ref="S77" si="152">S76-S73</f>
        <v>0</v>
      </c>
      <c r="T77" s="6">
        <f t="shared" ref="T77" si="153">T76-T73</f>
        <v>0</v>
      </c>
      <c r="U77" s="6">
        <f t="shared" ref="U77" si="154">U76-U73</f>
        <v>0</v>
      </c>
      <c r="V77" s="6">
        <f t="shared" ref="V77" si="155">V76-V73</f>
        <v>0</v>
      </c>
      <c r="W77" s="30"/>
      <c r="X77" s="42"/>
      <c r="Y77" s="42"/>
      <c r="Z77" s="42"/>
      <c r="AA77" s="42"/>
      <c r="AB77" s="41"/>
      <c r="AC77" s="41"/>
      <c r="AD77" s="41"/>
      <c r="AE77" s="48"/>
      <c r="AF77" s="35"/>
      <c r="AG77" s="30"/>
      <c r="AH77" s="35"/>
      <c r="AI77" s="35"/>
      <c r="AJ77" s="30"/>
      <c r="AK77" s="30"/>
      <c r="AL77" s="30"/>
      <c r="AM77" s="35"/>
      <c r="AN77" s="35"/>
      <c r="AO77" s="35"/>
      <c r="AP77" s="30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</row>
    <row r="78" spans="2:63" s="3" customFormat="1" ht="24.95" customHeight="1" x14ac:dyDescent="0.25">
      <c r="B78" s="29"/>
      <c r="C78" s="29"/>
      <c r="D78" s="30"/>
      <c r="E78" s="30"/>
      <c r="F78" s="29"/>
      <c r="G78" s="30"/>
      <c r="H78" s="30"/>
      <c r="I78"/>
      <c r="J78" s="27">
        <f>B78+0.1</f>
        <v>0.1</v>
      </c>
      <c r="K78" s="44"/>
      <c r="L78" s="30"/>
      <c r="M78" s="30"/>
      <c r="N78" s="16" t="s">
        <v>33</v>
      </c>
      <c r="O78" s="4"/>
      <c r="P78" s="4"/>
      <c r="Q78" s="4"/>
      <c r="R78" s="4"/>
      <c r="S78" s="4"/>
      <c r="T78" s="4"/>
      <c r="U78" s="4"/>
      <c r="V78" s="4"/>
      <c r="W78" s="34" t="str">
        <f t="shared" ref="W78" si="156">IF(AA78&gt;500,"LV",IF(Y78&gt;500,"Flat","Luma"))</f>
        <v>Luma</v>
      </c>
      <c r="X78" s="34"/>
      <c r="Y78" s="49"/>
      <c r="Z78" s="34">
        <f>X78*Y78/1000</f>
        <v>0</v>
      </c>
      <c r="AA78" s="34">
        <f>IF(AE78&gt;AD78,AR78,0)</f>
        <v>0</v>
      </c>
      <c r="AB78" s="39"/>
      <c r="AC78" s="39"/>
      <c r="AD78" s="39"/>
      <c r="AE78" s="46">
        <f>((AG78-(AH78*10))/10)*_xlfn.XLOOKUP(AI78,$R$2:$AJ$2,$R$3:$AJ$3)+(1-((AG78-(AH78*10))/10))*_xlfn.XLOOKUP(AH78,$R$2:$AJ$2,$R$3:$AJ$3)</f>
        <v>0</v>
      </c>
      <c r="AF78" s="31">
        <f>ROUND(AE78*Z78/1000+AD78*(1-Z78/1000),0)</f>
        <v>0</v>
      </c>
      <c r="AG78" s="34"/>
      <c r="AH78" s="31">
        <f>ROUNDDOWN(AG78/10,0)</f>
        <v>0</v>
      </c>
      <c r="AI78" s="31">
        <f>AH78+1</f>
        <v>1</v>
      </c>
      <c r="AJ78" s="34"/>
      <c r="AK78" s="31">
        <f>IF(AJ78&lt;0,0,IF(AJ78&gt;1000,10,ROUNDDOWN(AJ78/100,0)))</f>
        <v>0</v>
      </c>
      <c r="AL78" s="31">
        <f>IF(AJ78&lt;0,1,IF(AJ78&gt;1000,10,AK78+1))</f>
        <v>1</v>
      </c>
      <c r="AM78" s="34" t="e">
        <f>IF(AJ78&lt;0,INT(AS78+((AT78-AS78)*(AG78-AH78*10)/(AI78*10-AH78*10))),IF(AJ78&gt;1000,(AU78+((AV78-AU78)*(AG78-AH78*10)/(AI78*10-AH78*10))),BA78))</f>
        <v>#VALUE!</v>
      </c>
      <c r="AN78" s="31" t="e">
        <f>IF(AJ78&lt;0,INT(AW78+((AX78-AW78)*(AG78-AH78*10)/(AI78*10-AH78*10))),IF(AJ78&gt;1000,(AY78+((AZ78-AY78)*(AG78-AH78*10)/(AI78*10-AH78*10))),BB78))</f>
        <v>#VALUE!</v>
      </c>
      <c r="AO78" s="31"/>
      <c r="AP78" s="31"/>
      <c r="AR78" s="28"/>
      <c r="AS78" s="28" t="e">
        <f>HLOOKUP(AH78,$AQ$6:$BJ$17,AK78+2,FALSE)</f>
        <v>#VALUE!</v>
      </c>
      <c r="AT78" s="28" t="e">
        <f>HLOOKUP(AI78,$AQ$6:$BJ$17,AK78+2,FALSE)</f>
        <v>#VALUE!</v>
      </c>
      <c r="AU78" s="28" t="e">
        <f>HLOOKUP(AH78,$AQ$6:$BJ$17,AL78+2,FALSE)</f>
        <v>#VALUE!</v>
      </c>
      <c r="AV78" s="28" t="e">
        <f>VLOOKUP(AL78,$AQ$6:$BJ$17,AI78+2,FALSE)</f>
        <v>#VALUE!</v>
      </c>
      <c r="AW78" s="28" t="e">
        <f>HLOOKUP(AH78,$BK$6:$CD$17,AK78+2,FALSE)</f>
        <v>#VALUE!</v>
      </c>
      <c r="AX78" s="28" t="e">
        <f>HLOOKUP(AI78,$BK$6:$CD$17,AK78+2,FALSE)</f>
        <v>#VALUE!</v>
      </c>
      <c r="AY78" s="28" t="e">
        <f>HLOOKUP(AH78,$BK$6:$CD$17,AL78+2,FALSE)</f>
        <v>#VALUE!</v>
      </c>
      <c r="AZ78" s="28" t="e">
        <f>HLOOKUP(AI78,$BK$6:$CD$17,AL78+2,FALSE)</f>
        <v>#VALUE!</v>
      </c>
      <c r="BA78" s="28" t="e">
        <f>INT((AS78+((AT78-AS78)*(AG78-AH78*10)/(AI78*10-AH78*10)))+(((AU78+((AV78-AU78)*(AG78-AH78*10)/(AJ78*10-AH78*10)))-(AS78+((AT78-AS78)*(AG78-AH78*10)/(AI78*10-AH78*10))))*(AJ78-AK78*100)/(AL78*100-AK78*100)))</f>
        <v>#VALUE!</v>
      </c>
      <c r="BB78" s="28" t="e">
        <f>INT((AW78+((AX78-AW78)*(AG78-AH78*10)/(AI78*10-AH78*10)))+(((AY78+((AZ78-AY78)*(AG78-AH78*10)/(AJ78*10-AH78*10)))-(AW78+((AX78-AW78)*(AG78-AH78*10)/(AI78*10-AH78*10))))*(AJ78-AK78*100)/(AL78*100-AK78*100)))</f>
        <v>#VALUE!</v>
      </c>
      <c r="BC78" s="28">
        <f>IF(AG78-50&lt;$D$15,$D$15,AG78-50)</f>
        <v>0</v>
      </c>
      <c r="BD78" s="28" t="e">
        <f>_xlfn.XLOOKUP(BC78,$D$15:$H$15,$D$15:$H$15,,-1)</f>
        <v>#N/A</v>
      </c>
      <c r="BE78" s="28">
        <f>_xlfn.XLOOKUP(BC78,$D$15:$H$15,$D$15:$H$15,,1)</f>
        <v>0</v>
      </c>
      <c r="BF78" s="28" t="e">
        <f>_xlfn.XLOOKUP(BC78,$D$15:$H$15,$D$16:$H$16,,-1)</f>
        <v>#N/A</v>
      </c>
      <c r="BG78" s="28">
        <f>_xlfn.XLOOKUP(BC78,$D$15:$H$15,$D$16:$H$16,,1)</f>
        <v>0</v>
      </c>
      <c r="BH78" s="28" t="e">
        <f>_xlfn.XLOOKUP(BC78,$D$15:$H$15,$D$17:$H$17,,-1)</f>
        <v>#N/A</v>
      </c>
      <c r="BI78" s="28">
        <f>_xlfn.XLOOKUP(BC78,$D$15:$H$15,$D$17:$H$17,,1)</f>
        <v>0</v>
      </c>
      <c r="BJ78" s="28" t="e">
        <f>IF(BD78=BE78,BF78,(((BC78-BD78)/(BE78-BD78))*BG78+(1-((BC78-BD78)/(BE78-BD78)))*BF78))</f>
        <v>#N/A</v>
      </c>
      <c r="BK78" s="28" t="e">
        <f>IF(BD78=BE78,BH78,(((BC78-BD78)/(BE78-BD78))*BI78+(1-((BC78-BD78)/(BE78-BD78)))*BH78))</f>
        <v>#N/A</v>
      </c>
    </row>
    <row r="79" spans="2:63" s="3" customFormat="1" ht="24.95" customHeight="1" x14ac:dyDescent="0.25">
      <c r="B79" s="30"/>
      <c r="C79" s="30"/>
      <c r="D79" s="29"/>
      <c r="E79" s="30"/>
      <c r="F79" s="30"/>
      <c r="G79" s="29"/>
      <c r="H79" s="30"/>
      <c r="I79"/>
      <c r="J79" s="27">
        <f>B78+0.2</f>
        <v>0.2</v>
      </c>
      <c r="K79" s="30"/>
      <c r="L79" s="29"/>
      <c r="M79" s="30"/>
      <c r="N79" s="16" t="s">
        <v>34</v>
      </c>
      <c r="O79" s="4"/>
      <c r="P79" s="4"/>
      <c r="Q79" s="4"/>
      <c r="R79" s="4"/>
      <c r="S79" s="4"/>
      <c r="T79" s="4"/>
      <c r="U79" s="4"/>
      <c r="V79" s="4"/>
      <c r="W79" s="30"/>
      <c r="X79" s="34"/>
      <c r="Y79" s="49"/>
      <c r="Z79" s="34"/>
      <c r="AA79" s="34"/>
      <c r="AB79" s="40"/>
      <c r="AC79" s="40"/>
      <c r="AD79" s="40"/>
      <c r="AE79" s="47"/>
      <c r="AF79" s="43"/>
      <c r="AG79" s="30"/>
      <c r="AH79" s="43"/>
      <c r="AI79" s="43"/>
      <c r="AJ79" s="30"/>
      <c r="AK79" s="30"/>
      <c r="AL79" s="30"/>
      <c r="AM79" s="43"/>
      <c r="AN79" s="43"/>
      <c r="AO79" s="43"/>
      <c r="AP79" s="30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</row>
    <row r="80" spans="2:63" s="3" customFormat="1" ht="24.95" customHeight="1" x14ac:dyDescent="0.25">
      <c r="B80" s="30"/>
      <c r="C80" s="30"/>
      <c r="D80" s="29"/>
      <c r="E80" s="30"/>
      <c r="F80" s="30"/>
      <c r="G80" s="29"/>
      <c r="H80" s="30"/>
      <c r="I80"/>
      <c r="J80" s="27">
        <f>B78+0.3</f>
        <v>0.3</v>
      </c>
      <c r="K80" s="30"/>
      <c r="L80" s="29"/>
      <c r="M80" s="30"/>
      <c r="N80" s="16" t="s">
        <v>35</v>
      </c>
      <c r="O80" s="6">
        <f>O79-O78</f>
        <v>0</v>
      </c>
      <c r="P80" s="6">
        <f t="shared" ref="P80" si="157">P79-P78</f>
        <v>0</v>
      </c>
      <c r="Q80" s="6">
        <f t="shared" ref="Q80" si="158">Q79-Q78</f>
        <v>0</v>
      </c>
      <c r="R80" s="6">
        <f t="shared" ref="R80" si="159">R79-R78</f>
        <v>0</v>
      </c>
      <c r="S80" s="6">
        <f t="shared" ref="S80" si="160">S79-S78</f>
        <v>0</v>
      </c>
      <c r="T80" s="6">
        <f t="shared" ref="T80" si="161">T79-T78</f>
        <v>0</v>
      </c>
      <c r="U80" s="6">
        <f t="shared" ref="U80" si="162">U79-U78</f>
        <v>0</v>
      </c>
      <c r="V80" s="6">
        <f t="shared" ref="V80" si="163">V79-V78</f>
        <v>0</v>
      </c>
      <c r="W80" s="30"/>
      <c r="X80" s="34"/>
      <c r="Y80" s="49"/>
      <c r="Z80" s="34"/>
      <c r="AA80" s="34"/>
      <c r="AB80" s="40"/>
      <c r="AC80" s="40"/>
      <c r="AD80" s="40"/>
      <c r="AE80" s="47"/>
      <c r="AF80" s="43"/>
      <c r="AG80" s="30"/>
      <c r="AH80" s="43"/>
      <c r="AI80" s="43"/>
      <c r="AJ80" s="30"/>
      <c r="AK80" s="30"/>
      <c r="AL80" s="30"/>
      <c r="AM80" s="43"/>
      <c r="AN80" s="43"/>
      <c r="AO80" s="43"/>
      <c r="AP80" s="30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</row>
    <row r="81" spans="2:63" s="3" customFormat="1" ht="24.95" customHeight="1" x14ac:dyDescent="0.25">
      <c r="B81" s="30"/>
      <c r="C81" s="30"/>
      <c r="D81" s="29"/>
      <c r="E81" s="30"/>
      <c r="F81" s="30"/>
      <c r="G81" s="29"/>
      <c r="H81" s="30"/>
      <c r="I81"/>
      <c r="J81" s="27">
        <f>B78+0.4</f>
        <v>0.4</v>
      </c>
      <c r="K81" s="30"/>
      <c r="L81" s="29"/>
      <c r="M81" s="30"/>
      <c r="N81" s="16" t="s">
        <v>37</v>
      </c>
      <c r="O81" s="6"/>
      <c r="P81" s="6"/>
      <c r="Q81" s="6"/>
      <c r="R81" s="6"/>
      <c r="S81" s="6"/>
      <c r="T81" s="6"/>
      <c r="U81" s="6"/>
      <c r="V81" s="6"/>
      <c r="W81" s="30"/>
      <c r="X81" s="42">
        <f>1-Y81-AA81</f>
        <v>1</v>
      </c>
      <c r="Y81" s="42">
        <f>Y78/1000*(1-AA78/1000)</f>
        <v>0</v>
      </c>
      <c r="Z81" s="42">
        <f>X81+Y81</f>
        <v>1</v>
      </c>
      <c r="AA81" s="42">
        <f>AA78/1000</f>
        <v>0</v>
      </c>
      <c r="AB81" s="40"/>
      <c r="AC81" s="40"/>
      <c r="AD81" s="40"/>
      <c r="AE81" s="47"/>
      <c r="AF81" s="43"/>
      <c r="AG81" s="30"/>
      <c r="AH81" s="43"/>
      <c r="AI81" s="43"/>
      <c r="AJ81" s="30"/>
      <c r="AK81" s="30"/>
      <c r="AL81" s="30"/>
      <c r="AM81" s="43"/>
      <c r="AN81" s="43"/>
      <c r="AO81" s="43"/>
      <c r="AP81" s="30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</row>
    <row r="82" spans="2:63" s="3" customFormat="1" ht="24.95" customHeight="1" x14ac:dyDescent="0.25">
      <c r="B82" s="30"/>
      <c r="C82" s="30"/>
      <c r="D82" s="29"/>
      <c r="E82" s="30"/>
      <c r="F82" s="30"/>
      <c r="G82" s="29"/>
      <c r="H82" s="30"/>
      <c r="I82"/>
      <c r="J82" s="27">
        <f>B78+0.5</f>
        <v>0.5</v>
      </c>
      <c r="K82" s="30"/>
      <c r="L82" s="29"/>
      <c r="M82" s="30"/>
      <c r="N82" s="16" t="s">
        <v>36</v>
      </c>
      <c r="O82" s="6">
        <f>O81-O78</f>
        <v>0</v>
      </c>
      <c r="P82" s="6">
        <f t="shared" ref="P82" si="164">P81-P78</f>
        <v>0</v>
      </c>
      <c r="Q82" s="6">
        <f t="shared" ref="Q82" si="165">Q81-Q78</f>
        <v>0</v>
      </c>
      <c r="R82" s="6">
        <f t="shared" ref="R82" si="166">R81-R78</f>
        <v>0</v>
      </c>
      <c r="S82" s="6">
        <f t="shared" ref="S82" si="167">S81-S78</f>
        <v>0</v>
      </c>
      <c r="T82" s="6">
        <f t="shared" ref="T82" si="168">T81-T78</f>
        <v>0</v>
      </c>
      <c r="U82" s="6">
        <f t="shared" ref="U82" si="169">U81-U78</f>
        <v>0</v>
      </c>
      <c r="V82" s="6">
        <f t="shared" ref="V82" si="170">V81-V78</f>
        <v>0</v>
      </c>
      <c r="W82" s="30"/>
      <c r="X82" s="42"/>
      <c r="Y82" s="42"/>
      <c r="Z82" s="42"/>
      <c r="AA82" s="42"/>
      <c r="AB82" s="41"/>
      <c r="AC82" s="41"/>
      <c r="AD82" s="41"/>
      <c r="AE82" s="48"/>
      <c r="AF82" s="35"/>
      <c r="AG82" s="30"/>
      <c r="AH82" s="35"/>
      <c r="AI82" s="35"/>
      <c r="AJ82" s="30"/>
      <c r="AK82" s="30"/>
      <c r="AL82" s="30"/>
      <c r="AM82" s="35"/>
      <c r="AN82" s="35"/>
      <c r="AO82" s="35"/>
      <c r="AP82" s="30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</row>
    <row r="83" spans="2:63" s="3" customFormat="1" ht="24.95" customHeight="1" x14ac:dyDescent="0.25">
      <c r="B83" s="29"/>
      <c r="C83" s="29"/>
      <c r="D83" s="30"/>
      <c r="E83" s="30"/>
      <c r="F83" s="29"/>
      <c r="G83" s="30"/>
      <c r="H83" s="30"/>
      <c r="I83"/>
      <c r="J83" s="27">
        <f>B83+0.1</f>
        <v>0.1</v>
      </c>
      <c r="K83" s="44"/>
      <c r="L83" s="30"/>
      <c r="M83" s="30"/>
      <c r="N83" s="16" t="s">
        <v>33</v>
      </c>
      <c r="O83" s="4"/>
      <c r="P83" s="4"/>
      <c r="Q83" s="4"/>
      <c r="R83" s="4"/>
      <c r="S83" s="4"/>
      <c r="T83" s="4"/>
      <c r="U83" s="4"/>
      <c r="V83" s="4"/>
      <c r="W83" s="34" t="str">
        <f t="shared" ref="W83" si="171">IF(AA83&gt;500,"LV",IF(Y83&gt;500,"Flat","Luma"))</f>
        <v>Luma</v>
      </c>
      <c r="X83" s="34"/>
      <c r="Y83" s="49"/>
      <c r="Z83" s="34">
        <f>X83*Y83/1000</f>
        <v>0</v>
      </c>
      <c r="AA83" s="34">
        <f>IF(AE83&gt;AD83,AR83,0)</f>
        <v>0</v>
      </c>
      <c r="AB83" s="39"/>
      <c r="AC83" s="39"/>
      <c r="AD83" s="39"/>
      <c r="AE83" s="46">
        <f>((AG83-(AH83*10))/10)*_xlfn.XLOOKUP(AI83,$R$2:$AJ$2,$R$3:$AJ$3)+(1-((AG83-(AH83*10))/10))*_xlfn.XLOOKUP(AH83,$R$2:$AJ$2,$R$3:$AJ$3)</f>
        <v>0</v>
      </c>
      <c r="AF83" s="31">
        <f>ROUND(AE83*Z83/1000+AD83*(1-Z83/1000),0)</f>
        <v>0</v>
      </c>
      <c r="AG83" s="34"/>
      <c r="AH83" s="31">
        <f>ROUNDDOWN(AG83/10,0)</f>
        <v>0</v>
      </c>
      <c r="AI83" s="31">
        <f>AH83+1</f>
        <v>1</v>
      </c>
      <c r="AJ83" s="34"/>
      <c r="AK83" s="31">
        <f>IF(AJ83&lt;0,0,IF(AJ83&gt;1000,10,ROUNDDOWN(AJ83/100,0)))</f>
        <v>0</v>
      </c>
      <c r="AL83" s="31">
        <f>IF(AJ83&lt;0,1,IF(AJ83&gt;1000,10,AK83+1))</f>
        <v>1</v>
      </c>
      <c r="AM83" s="34" t="e">
        <f>IF(AJ83&lt;0,INT(AS83+((AT83-AS83)*(AG83-AH83*10)/(AI83*10-AH83*10))),IF(AJ83&gt;1000,(AU83+((AV83-AU83)*(AG83-AH83*10)/(AI83*10-AH83*10))),BA83))</f>
        <v>#VALUE!</v>
      </c>
      <c r="AN83" s="31" t="e">
        <f>IF(AJ83&lt;0,INT(AW83+((AX83-AW83)*(AG83-AH83*10)/(AI83*10-AH83*10))),IF(AJ83&gt;1000,(AY83+((AZ83-AY83)*(AG83-AH83*10)/(AI83*10-AH83*10))),BB83))</f>
        <v>#VALUE!</v>
      </c>
      <c r="AO83" s="31"/>
      <c r="AP83" s="31"/>
      <c r="AR83" s="28"/>
      <c r="AS83" s="28" t="e">
        <f>HLOOKUP(AH83,$AQ$6:$BJ$17,AK83+2,FALSE)</f>
        <v>#VALUE!</v>
      </c>
      <c r="AT83" s="28" t="e">
        <f>HLOOKUP(AI83,$AQ$6:$BJ$17,AK83+2,FALSE)</f>
        <v>#VALUE!</v>
      </c>
      <c r="AU83" s="28" t="e">
        <f>HLOOKUP(AH83,$AQ$6:$BJ$17,AL83+2,FALSE)</f>
        <v>#VALUE!</v>
      </c>
      <c r="AV83" s="28" t="e">
        <f>VLOOKUP(AL83,$AQ$6:$BJ$17,AI83+2,FALSE)</f>
        <v>#VALUE!</v>
      </c>
      <c r="AW83" s="28" t="e">
        <f>HLOOKUP(AH83,$BK$6:$CD$17,AK83+2,FALSE)</f>
        <v>#VALUE!</v>
      </c>
      <c r="AX83" s="28" t="e">
        <f>HLOOKUP(AI83,$BK$6:$CD$17,AK83+2,FALSE)</f>
        <v>#VALUE!</v>
      </c>
      <c r="AY83" s="28" t="e">
        <f>HLOOKUP(AH83,$BK$6:$CD$17,AL83+2,FALSE)</f>
        <v>#VALUE!</v>
      </c>
      <c r="AZ83" s="28" t="e">
        <f>HLOOKUP(AI83,$BK$6:$CD$17,AL83+2,FALSE)</f>
        <v>#VALUE!</v>
      </c>
      <c r="BA83" s="28" t="e">
        <f>INT((AS83+((AT83-AS83)*(AG83-AH83*10)/(AI83*10-AH83*10)))+(((AU83+((AV83-AU83)*(AG83-AH83*10)/(AJ83*10-AH83*10)))-(AS83+((AT83-AS83)*(AG83-AH83*10)/(AI83*10-AH83*10))))*(AJ83-AK83*100)/(AL83*100-AK83*100)))</f>
        <v>#VALUE!</v>
      </c>
      <c r="BB83" s="28" t="e">
        <f>INT((AW83+((AX83-AW83)*(AG83-AH83*10)/(AI83*10-AH83*10)))+(((AY83+((AZ83-AY83)*(AG83-AH83*10)/(AJ83*10-AH83*10)))-(AW83+((AX83-AW83)*(AG83-AH83*10)/(AI83*10-AH83*10))))*(AJ83-AK83*100)/(AL83*100-AK83*100)))</f>
        <v>#VALUE!</v>
      </c>
      <c r="BC83" s="28">
        <f>IF(AG83-50&lt;$D$15,$D$15,AG83-50)</f>
        <v>0</v>
      </c>
      <c r="BD83" s="28" t="e">
        <f>_xlfn.XLOOKUP(BC83,$D$15:$H$15,$D$15:$H$15,,-1)</f>
        <v>#N/A</v>
      </c>
      <c r="BE83" s="28">
        <f>_xlfn.XLOOKUP(BC83,$D$15:$H$15,$D$15:$H$15,,1)</f>
        <v>0</v>
      </c>
      <c r="BF83" s="28" t="e">
        <f>_xlfn.XLOOKUP(BC83,$D$15:$H$15,$D$16:$H$16,,-1)</f>
        <v>#N/A</v>
      </c>
      <c r="BG83" s="28">
        <f>_xlfn.XLOOKUP(BC83,$D$15:$H$15,$D$16:$H$16,,1)</f>
        <v>0</v>
      </c>
      <c r="BH83" s="28" t="e">
        <f>_xlfn.XLOOKUP(BC83,$D$15:$H$15,$D$17:$H$17,,-1)</f>
        <v>#N/A</v>
      </c>
      <c r="BI83" s="28">
        <f>_xlfn.XLOOKUP(BC83,$D$15:$H$15,$D$17:$H$17,,1)</f>
        <v>0</v>
      </c>
      <c r="BJ83" s="28" t="e">
        <f>IF(BD83=BE83,BF83,(((BC83-BD83)/(BE83-BD83))*BG83+(1-((BC83-BD83)/(BE83-BD83)))*BF83))</f>
        <v>#N/A</v>
      </c>
      <c r="BK83" s="28" t="e">
        <f>IF(BD83=BE83,BH83,(((BC83-BD83)/(BE83-BD83))*BI83+(1-((BC83-BD83)/(BE83-BD83)))*BH83))</f>
        <v>#N/A</v>
      </c>
    </row>
    <row r="84" spans="2:63" s="3" customFormat="1" ht="24.95" customHeight="1" x14ac:dyDescent="0.25">
      <c r="B84" s="30"/>
      <c r="C84" s="30"/>
      <c r="D84" s="29"/>
      <c r="E84" s="30"/>
      <c r="F84" s="30"/>
      <c r="G84" s="29"/>
      <c r="H84" s="30"/>
      <c r="I84"/>
      <c r="J84" s="27">
        <f>B83+0.2</f>
        <v>0.2</v>
      </c>
      <c r="K84" s="30"/>
      <c r="L84" s="29"/>
      <c r="M84" s="30"/>
      <c r="N84" s="16" t="s">
        <v>34</v>
      </c>
      <c r="O84" s="4"/>
      <c r="P84" s="4"/>
      <c r="Q84" s="4"/>
      <c r="R84" s="4"/>
      <c r="S84" s="4"/>
      <c r="T84" s="4"/>
      <c r="U84" s="4"/>
      <c r="V84" s="4"/>
      <c r="W84" s="30"/>
      <c r="X84" s="34"/>
      <c r="Y84" s="49"/>
      <c r="Z84" s="34"/>
      <c r="AA84" s="34"/>
      <c r="AB84" s="40"/>
      <c r="AC84" s="40"/>
      <c r="AD84" s="40"/>
      <c r="AE84" s="47"/>
      <c r="AF84" s="43"/>
      <c r="AG84" s="30"/>
      <c r="AH84" s="43"/>
      <c r="AI84" s="43"/>
      <c r="AJ84" s="30"/>
      <c r="AK84" s="30"/>
      <c r="AL84" s="30"/>
      <c r="AM84" s="43"/>
      <c r="AN84" s="43"/>
      <c r="AO84" s="43"/>
      <c r="AP84" s="30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</row>
    <row r="85" spans="2:63" s="3" customFormat="1" ht="24.95" customHeight="1" x14ac:dyDescent="0.25">
      <c r="B85" s="30"/>
      <c r="C85" s="30"/>
      <c r="D85" s="29"/>
      <c r="E85" s="30"/>
      <c r="F85" s="30"/>
      <c r="G85" s="29"/>
      <c r="H85" s="30"/>
      <c r="I85"/>
      <c r="J85" s="27">
        <f>B83+0.3</f>
        <v>0.3</v>
      </c>
      <c r="K85" s="30"/>
      <c r="L85" s="29"/>
      <c r="M85" s="30"/>
      <c r="N85" s="16" t="s">
        <v>35</v>
      </c>
      <c r="O85" s="6">
        <f>O84-O83</f>
        <v>0</v>
      </c>
      <c r="P85" s="6">
        <f t="shared" ref="P85" si="172">P84-P83</f>
        <v>0</v>
      </c>
      <c r="Q85" s="6">
        <f t="shared" ref="Q85" si="173">Q84-Q83</f>
        <v>0</v>
      </c>
      <c r="R85" s="6">
        <f t="shared" ref="R85" si="174">R84-R83</f>
        <v>0</v>
      </c>
      <c r="S85" s="6">
        <f t="shared" ref="S85" si="175">S84-S83</f>
        <v>0</v>
      </c>
      <c r="T85" s="6">
        <f t="shared" ref="T85" si="176">T84-T83</f>
        <v>0</v>
      </c>
      <c r="U85" s="6">
        <f t="shared" ref="U85" si="177">U84-U83</f>
        <v>0</v>
      </c>
      <c r="V85" s="6">
        <f t="shared" ref="V85" si="178">V84-V83</f>
        <v>0</v>
      </c>
      <c r="W85" s="30"/>
      <c r="X85" s="34"/>
      <c r="Y85" s="49"/>
      <c r="Z85" s="34"/>
      <c r="AA85" s="34"/>
      <c r="AB85" s="40"/>
      <c r="AC85" s="40"/>
      <c r="AD85" s="40"/>
      <c r="AE85" s="47"/>
      <c r="AF85" s="43"/>
      <c r="AG85" s="30"/>
      <c r="AH85" s="43"/>
      <c r="AI85" s="43"/>
      <c r="AJ85" s="30"/>
      <c r="AK85" s="30"/>
      <c r="AL85" s="30"/>
      <c r="AM85" s="43"/>
      <c r="AN85" s="43"/>
      <c r="AO85" s="43"/>
      <c r="AP85" s="30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</row>
    <row r="86" spans="2:63" s="3" customFormat="1" ht="24.95" customHeight="1" x14ac:dyDescent="0.25">
      <c r="B86" s="30"/>
      <c r="C86" s="30"/>
      <c r="D86" s="29"/>
      <c r="E86" s="30"/>
      <c r="F86" s="30"/>
      <c r="G86" s="29"/>
      <c r="H86" s="30"/>
      <c r="I86"/>
      <c r="J86" s="27">
        <f>B83+0.4</f>
        <v>0.4</v>
      </c>
      <c r="K86" s="30"/>
      <c r="L86" s="29"/>
      <c r="M86" s="30"/>
      <c r="N86" s="16" t="s">
        <v>37</v>
      </c>
      <c r="O86" s="6"/>
      <c r="P86" s="6"/>
      <c r="Q86" s="6"/>
      <c r="R86" s="6"/>
      <c r="S86" s="6"/>
      <c r="T86" s="6"/>
      <c r="U86" s="6"/>
      <c r="V86" s="6"/>
      <c r="W86" s="30"/>
      <c r="X86" s="42">
        <f>1-Y86-AA86</f>
        <v>1</v>
      </c>
      <c r="Y86" s="42">
        <f>Y83/1000*(1-AA83/1000)</f>
        <v>0</v>
      </c>
      <c r="Z86" s="42">
        <f>X86+Y86</f>
        <v>1</v>
      </c>
      <c r="AA86" s="42">
        <f>AA83/1000</f>
        <v>0</v>
      </c>
      <c r="AB86" s="40"/>
      <c r="AC86" s="40"/>
      <c r="AD86" s="40"/>
      <c r="AE86" s="47"/>
      <c r="AF86" s="43"/>
      <c r="AG86" s="30"/>
      <c r="AH86" s="43"/>
      <c r="AI86" s="43"/>
      <c r="AJ86" s="30"/>
      <c r="AK86" s="30"/>
      <c r="AL86" s="30"/>
      <c r="AM86" s="43"/>
      <c r="AN86" s="43"/>
      <c r="AO86" s="43"/>
      <c r="AP86" s="30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</row>
    <row r="87" spans="2:63" s="3" customFormat="1" ht="24.95" customHeight="1" x14ac:dyDescent="0.25">
      <c r="B87" s="30"/>
      <c r="C87" s="30"/>
      <c r="D87" s="29"/>
      <c r="E87" s="30"/>
      <c r="F87" s="30"/>
      <c r="G87" s="29"/>
      <c r="H87" s="30"/>
      <c r="I87"/>
      <c r="J87" s="27">
        <f>B83+0.5</f>
        <v>0.5</v>
      </c>
      <c r="K87" s="30"/>
      <c r="L87" s="29"/>
      <c r="M87" s="30"/>
      <c r="N87" s="16" t="s">
        <v>36</v>
      </c>
      <c r="O87" s="6">
        <f>O86-O83</f>
        <v>0</v>
      </c>
      <c r="P87" s="6">
        <f t="shared" ref="P87" si="179">P86-P83</f>
        <v>0</v>
      </c>
      <c r="Q87" s="6">
        <f t="shared" ref="Q87" si="180">Q86-Q83</f>
        <v>0</v>
      </c>
      <c r="R87" s="6">
        <f t="shared" ref="R87" si="181">R86-R83</f>
        <v>0</v>
      </c>
      <c r="S87" s="6">
        <f t="shared" ref="S87" si="182">S86-S83</f>
        <v>0</v>
      </c>
      <c r="T87" s="6">
        <f t="shared" ref="T87" si="183">T86-T83</f>
        <v>0</v>
      </c>
      <c r="U87" s="6">
        <f t="shared" ref="U87" si="184">U86-U83</f>
        <v>0</v>
      </c>
      <c r="V87" s="6">
        <f t="shared" ref="V87" si="185">V86-V83</f>
        <v>0</v>
      </c>
      <c r="W87" s="30"/>
      <c r="X87" s="42"/>
      <c r="Y87" s="42"/>
      <c r="Z87" s="42"/>
      <c r="AA87" s="42"/>
      <c r="AB87" s="41"/>
      <c r="AC87" s="41"/>
      <c r="AD87" s="41"/>
      <c r="AE87" s="48"/>
      <c r="AF87" s="35"/>
      <c r="AG87" s="30"/>
      <c r="AH87" s="35"/>
      <c r="AI87" s="35"/>
      <c r="AJ87" s="30"/>
      <c r="AK87" s="30"/>
      <c r="AL87" s="30"/>
      <c r="AM87" s="35"/>
      <c r="AN87" s="35"/>
      <c r="AO87" s="35"/>
      <c r="AP87" s="30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</row>
    <row r="88" spans="2:63" s="3" customFormat="1" ht="24.95" customHeight="1" x14ac:dyDescent="0.25">
      <c r="B88" s="29"/>
      <c r="C88" s="29"/>
      <c r="D88" s="30"/>
      <c r="E88" s="30"/>
      <c r="F88" s="29"/>
      <c r="G88" s="30"/>
      <c r="H88" s="30"/>
      <c r="I88"/>
      <c r="J88" s="27">
        <f>B88+0.1</f>
        <v>0.1</v>
      </c>
      <c r="K88" s="44"/>
      <c r="L88" s="30"/>
      <c r="M88" s="30"/>
      <c r="N88" s="16" t="s">
        <v>33</v>
      </c>
      <c r="O88" s="4"/>
      <c r="P88" s="4"/>
      <c r="Q88" s="4"/>
      <c r="R88" s="4"/>
      <c r="S88" s="4"/>
      <c r="T88" s="4"/>
      <c r="U88" s="4"/>
      <c r="V88" s="4"/>
      <c r="W88" s="34" t="str">
        <f t="shared" ref="W88" si="186">IF(AA88&gt;500,"LV",IF(Y88&gt;500,"Flat","Luma"))</f>
        <v>Luma</v>
      </c>
      <c r="X88" s="34"/>
      <c r="Y88" s="49"/>
      <c r="Z88" s="34">
        <f>X88*Y88/1000</f>
        <v>0</v>
      </c>
      <c r="AA88" s="34">
        <f>IF(AE88&gt;AD88,AR88,0)</f>
        <v>0</v>
      </c>
      <c r="AB88" s="39"/>
      <c r="AC88" s="39"/>
      <c r="AD88" s="39"/>
      <c r="AE88" s="46">
        <f>((AG88-(AH88*10))/10)*_xlfn.XLOOKUP(AI88,$R$2:$AJ$2,$R$3:$AJ$3)+(1-((AG88-(AH88*10))/10))*_xlfn.XLOOKUP(AH88,$R$2:$AJ$2,$R$3:$AJ$3)</f>
        <v>0</v>
      </c>
      <c r="AF88" s="31">
        <f>ROUND(AE88*Z88/1000+AD88*(1-Z88/1000),0)</f>
        <v>0</v>
      </c>
      <c r="AG88" s="34"/>
      <c r="AH88" s="31">
        <f>ROUNDDOWN(AG88/10,0)</f>
        <v>0</v>
      </c>
      <c r="AI88" s="31">
        <f>AH88+1</f>
        <v>1</v>
      </c>
      <c r="AJ88" s="34"/>
      <c r="AK88" s="31">
        <f>IF(AJ88&lt;0,0,IF(AJ88&gt;1000,10,ROUNDDOWN(AJ88/100,0)))</f>
        <v>0</v>
      </c>
      <c r="AL88" s="31">
        <f>IF(AJ88&lt;0,1,IF(AJ88&gt;1000,10,AK88+1))</f>
        <v>1</v>
      </c>
      <c r="AM88" s="34" t="e">
        <f>IF(AJ88&lt;0,INT(AS88+((AT88-AS88)*(AG88-AH88*10)/(AI88*10-AH88*10))),IF(AJ88&gt;1000,(AU88+((AV88-AU88)*(AG88-AH88*10)/(AI88*10-AH88*10))),BA88))</f>
        <v>#VALUE!</v>
      </c>
      <c r="AN88" s="31" t="e">
        <f>IF(AJ88&lt;0,INT(AW88+((AX88-AW88)*(AG88-AH88*10)/(AI88*10-AH88*10))),IF(AJ88&gt;1000,(AY88+((AZ88-AY88)*(AG88-AH88*10)/(AI88*10-AH88*10))),BB88))</f>
        <v>#VALUE!</v>
      </c>
      <c r="AO88" s="31"/>
      <c r="AP88" s="31"/>
      <c r="AR88" s="28"/>
      <c r="AS88" s="28" t="e">
        <f>HLOOKUP(AH88,$AQ$6:$BJ$17,AK88+2,FALSE)</f>
        <v>#VALUE!</v>
      </c>
      <c r="AT88" s="28" t="e">
        <f>HLOOKUP(AI88,$AQ$6:$BJ$17,AK88+2,FALSE)</f>
        <v>#VALUE!</v>
      </c>
      <c r="AU88" s="28" t="e">
        <f>HLOOKUP(AH88,$AQ$6:$BJ$17,AL88+2,FALSE)</f>
        <v>#VALUE!</v>
      </c>
      <c r="AV88" s="28" t="e">
        <f>VLOOKUP(AL88,$AQ$6:$BJ$17,AI88+2,FALSE)</f>
        <v>#VALUE!</v>
      </c>
      <c r="AW88" s="28" t="e">
        <f>HLOOKUP(AH88,$BK$6:$CD$17,AK88+2,FALSE)</f>
        <v>#VALUE!</v>
      </c>
      <c r="AX88" s="28" t="e">
        <f>HLOOKUP(AI88,$BK$6:$CD$17,AK88+2,FALSE)</f>
        <v>#VALUE!</v>
      </c>
      <c r="AY88" s="28" t="e">
        <f>HLOOKUP(AH88,$BK$6:$CD$17,AL88+2,FALSE)</f>
        <v>#VALUE!</v>
      </c>
      <c r="AZ88" s="28" t="e">
        <f>HLOOKUP(AI88,$BK$6:$CD$17,AL88+2,FALSE)</f>
        <v>#VALUE!</v>
      </c>
      <c r="BA88" s="28" t="e">
        <f>INT((AS88+((AT88-AS88)*(AG88-AH88*10)/(AI88*10-AH88*10)))+(((AU88+((AV88-AU88)*(AG88-AH88*10)/(AJ88*10-AH88*10)))-(AS88+((AT88-AS88)*(AG88-AH88*10)/(AI88*10-AH88*10))))*(AJ88-AK88*100)/(AL88*100-AK88*100)))</f>
        <v>#VALUE!</v>
      </c>
      <c r="BB88" s="28" t="e">
        <f>INT((AW88+((AX88-AW88)*(AG88-AH88*10)/(AI88*10-AH88*10)))+(((AY88+((AZ88-AY88)*(AG88-AH88*10)/(AJ88*10-AH88*10)))-(AW88+((AX88-AW88)*(AG88-AH88*10)/(AI88*10-AH88*10))))*(AJ88-AK88*100)/(AL88*100-AK88*100)))</f>
        <v>#VALUE!</v>
      </c>
      <c r="BC88" s="28">
        <f>IF(AG88-50&lt;$D$15,$D$15,AG88-50)</f>
        <v>0</v>
      </c>
      <c r="BD88" s="28" t="e">
        <f>_xlfn.XLOOKUP(BC88,$D$15:$H$15,$D$15:$H$15,,-1)</f>
        <v>#N/A</v>
      </c>
      <c r="BE88" s="28">
        <f>_xlfn.XLOOKUP(BC88,$D$15:$H$15,$D$15:$H$15,,1)</f>
        <v>0</v>
      </c>
      <c r="BF88" s="28" t="e">
        <f>_xlfn.XLOOKUP(BC88,$D$15:$H$15,$D$16:$H$16,,-1)</f>
        <v>#N/A</v>
      </c>
      <c r="BG88" s="28">
        <f>_xlfn.XLOOKUP(BC88,$D$15:$H$15,$D$16:$H$16,,1)</f>
        <v>0</v>
      </c>
      <c r="BH88" s="28" t="e">
        <f>_xlfn.XLOOKUP(BC88,$D$15:$H$15,$D$17:$H$17,,-1)</f>
        <v>#N/A</v>
      </c>
      <c r="BI88" s="28">
        <f>_xlfn.XLOOKUP(BC88,$D$15:$H$15,$D$17:$H$17,,1)</f>
        <v>0</v>
      </c>
      <c r="BJ88" s="28" t="e">
        <f>IF(BD88=BE88,BF88,(((BC88-BD88)/(BE88-BD88))*BG88+(1-((BC88-BD88)/(BE88-BD88)))*BF88))</f>
        <v>#N/A</v>
      </c>
      <c r="BK88" s="28" t="e">
        <f>IF(BD88=BE88,BH88,(((BC88-BD88)/(BE88-BD88))*BI88+(1-((BC88-BD88)/(BE88-BD88)))*BH88))</f>
        <v>#N/A</v>
      </c>
    </row>
    <row r="89" spans="2:63" s="3" customFormat="1" ht="24.95" customHeight="1" x14ac:dyDescent="0.25">
      <c r="B89" s="30"/>
      <c r="C89" s="30"/>
      <c r="D89" s="29"/>
      <c r="E89" s="30"/>
      <c r="F89" s="30"/>
      <c r="G89" s="29"/>
      <c r="H89" s="30"/>
      <c r="I89"/>
      <c r="J89" s="27">
        <f>B88+0.2</f>
        <v>0.2</v>
      </c>
      <c r="K89" s="30"/>
      <c r="L89" s="29"/>
      <c r="M89" s="30"/>
      <c r="N89" s="16" t="s">
        <v>34</v>
      </c>
      <c r="O89" s="4"/>
      <c r="P89" s="4"/>
      <c r="Q89" s="4"/>
      <c r="R89" s="4"/>
      <c r="S89" s="4"/>
      <c r="T89" s="4"/>
      <c r="U89" s="4"/>
      <c r="V89" s="4"/>
      <c r="W89" s="30"/>
      <c r="X89" s="34"/>
      <c r="Y89" s="49"/>
      <c r="Z89" s="34"/>
      <c r="AA89" s="34"/>
      <c r="AB89" s="40"/>
      <c r="AC89" s="40"/>
      <c r="AD89" s="40"/>
      <c r="AE89" s="47"/>
      <c r="AF89" s="43"/>
      <c r="AG89" s="30"/>
      <c r="AH89" s="43"/>
      <c r="AI89" s="43"/>
      <c r="AJ89" s="30"/>
      <c r="AK89" s="30"/>
      <c r="AL89" s="30"/>
      <c r="AM89" s="43"/>
      <c r="AN89" s="43"/>
      <c r="AO89" s="43"/>
      <c r="AP89" s="30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</row>
    <row r="90" spans="2:63" s="3" customFormat="1" ht="24.95" customHeight="1" x14ac:dyDescent="0.25">
      <c r="B90" s="30"/>
      <c r="C90" s="30"/>
      <c r="D90" s="29"/>
      <c r="E90" s="30"/>
      <c r="F90" s="30"/>
      <c r="G90" s="29"/>
      <c r="H90" s="30"/>
      <c r="I90"/>
      <c r="J90" s="27">
        <f>B88+0.3</f>
        <v>0.3</v>
      </c>
      <c r="K90" s="30"/>
      <c r="L90" s="29"/>
      <c r="M90" s="30"/>
      <c r="N90" s="16" t="s">
        <v>35</v>
      </c>
      <c r="O90" s="6">
        <f>O89-O88</f>
        <v>0</v>
      </c>
      <c r="P90" s="6">
        <f t="shared" ref="P90" si="187">P89-P88</f>
        <v>0</v>
      </c>
      <c r="Q90" s="6">
        <f t="shared" ref="Q90" si="188">Q89-Q88</f>
        <v>0</v>
      </c>
      <c r="R90" s="6">
        <f t="shared" ref="R90" si="189">R89-R88</f>
        <v>0</v>
      </c>
      <c r="S90" s="6">
        <f t="shared" ref="S90" si="190">S89-S88</f>
        <v>0</v>
      </c>
      <c r="T90" s="6">
        <f t="shared" ref="T90" si="191">T89-T88</f>
        <v>0</v>
      </c>
      <c r="U90" s="6">
        <f t="shared" ref="U90" si="192">U89-U88</f>
        <v>0</v>
      </c>
      <c r="V90" s="6">
        <f t="shared" ref="V90" si="193">V89-V88</f>
        <v>0</v>
      </c>
      <c r="W90" s="30"/>
      <c r="X90" s="34"/>
      <c r="Y90" s="49"/>
      <c r="Z90" s="34"/>
      <c r="AA90" s="34"/>
      <c r="AB90" s="40"/>
      <c r="AC90" s="40"/>
      <c r="AD90" s="40"/>
      <c r="AE90" s="47"/>
      <c r="AF90" s="43"/>
      <c r="AG90" s="30"/>
      <c r="AH90" s="43"/>
      <c r="AI90" s="43"/>
      <c r="AJ90" s="30"/>
      <c r="AK90" s="30"/>
      <c r="AL90" s="30"/>
      <c r="AM90" s="43"/>
      <c r="AN90" s="43"/>
      <c r="AO90" s="43"/>
      <c r="AP90" s="30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</row>
    <row r="91" spans="2:63" s="3" customFormat="1" ht="24.95" customHeight="1" x14ac:dyDescent="0.25">
      <c r="B91" s="30"/>
      <c r="C91" s="30"/>
      <c r="D91" s="29"/>
      <c r="E91" s="30"/>
      <c r="F91" s="30"/>
      <c r="G91" s="29"/>
      <c r="H91" s="30"/>
      <c r="I91"/>
      <c r="J91" s="27">
        <f>B88+0.4</f>
        <v>0.4</v>
      </c>
      <c r="K91" s="30"/>
      <c r="L91" s="29"/>
      <c r="M91" s="30"/>
      <c r="N91" s="16" t="s">
        <v>37</v>
      </c>
      <c r="O91" s="6"/>
      <c r="P91" s="6"/>
      <c r="Q91" s="6"/>
      <c r="R91" s="6"/>
      <c r="S91" s="6"/>
      <c r="T91" s="6"/>
      <c r="U91" s="6"/>
      <c r="V91" s="6"/>
      <c r="W91" s="30"/>
      <c r="X91" s="42">
        <f>1-Y91-AA91</f>
        <v>1</v>
      </c>
      <c r="Y91" s="42">
        <f>Y88/1000*(1-AA88/1000)</f>
        <v>0</v>
      </c>
      <c r="Z91" s="42">
        <f>X91+Y91</f>
        <v>1</v>
      </c>
      <c r="AA91" s="42">
        <f>AA88/1000</f>
        <v>0</v>
      </c>
      <c r="AB91" s="40"/>
      <c r="AC91" s="40"/>
      <c r="AD91" s="40"/>
      <c r="AE91" s="47"/>
      <c r="AF91" s="43"/>
      <c r="AG91" s="30"/>
      <c r="AH91" s="43"/>
      <c r="AI91" s="43"/>
      <c r="AJ91" s="30"/>
      <c r="AK91" s="30"/>
      <c r="AL91" s="30"/>
      <c r="AM91" s="43"/>
      <c r="AN91" s="43"/>
      <c r="AO91" s="43"/>
      <c r="AP91" s="30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</row>
    <row r="92" spans="2:63" s="3" customFormat="1" ht="24.95" customHeight="1" x14ac:dyDescent="0.25">
      <c r="B92" s="30"/>
      <c r="C92" s="30"/>
      <c r="D92" s="29"/>
      <c r="E92" s="30"/>
      <c r="F92" s="30"/>
      <c r="G92" s="29"/>
      <c r="H92" s="30"/>
      <c r="I92"/>
      <c r="J92" s="27">
        <f>B88+0.5</f>
        <v>0.5</v>
      </c>
      <c r="K92" s="30"/>
      <c r="L92" s="29"/>
      <c r="M92" s="30"/>
      <c r="N92" s="16" t="s">
        <v>36</v>
      </c>
      <c r="O92" s="6">
        <f>O91-O88</f>
        <v>0</v>
      </c>
      <c r="P92" s="6">
        <f t="shared" ref="P92" si="194">P91-P88</f>
        <v>0</v>
      </c>
      <c r="Q92" s="6">
        <f t="shared" ref="Q92" si="195">Q91-Q88</f>
        <v>0</v>
      </c>
      <c r="R92" s="6">
        <f t="shared" ref="R92" si="196">R91-R88</f>
        <v>0</v>
      </c>
      <c r="S92" s="6">
        <f t="shared" ref="S92" si="197">S91-S88</f>
        <v>0</v>
      </c>
      <c r="T92" s="6">
        <f t="shared" ref="T92" si="198">T91-T88</f>
        <v>0</v>
      </c>
      <c r="U92" s="6">
        <f t="shared" ref="U92" si="199">U91-U88</f>
        <v>0</v>
      </c>
      <c r="V92" s="6">
        <f t="shared" ref="V92" si="200">V91-V88</f>
        <v>0</v>
      </c>
      <c r="W92" s="30"/>
      <c r="X92" s="42"/>
      <c r="Y92" s="42"/>
      <c r="Z92" s="42"/>
      <c r="AA92" s="42"/>
      <c r="AB92" s="41"/>
      <c r="AC92" s="41"/>
      <c r="AD92" s="41"/>
      <c r="AE92" s="48"/>
      <c r="AF92" s="35"/>
      <c r="AG92" s="30"/>
      <c r="AH92" s="35"/>
      <c r="AI92" s="35"/>
      <c r="AJ92" s="30"/>
      <c r="AK92" s="30"/>
      <c r="AL92" s="30"/>
      <c r="AM92" s="35"/>
      <c r="AN92" s="35"/>
      <c r="AO92" s="35"/>
      <c r="AP92" s="30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</row>
    <row r="93" spans="2:63" s="3" customFormat="1" ht="24.95" customHeight="1" x14ac:dyDescent="0.25">
      <c r="B93" s="29"/>
      <c r="C93" s="29"/>
      <c r="D93" s="30"/>
      <c r="E93" s="30"/>
      <c r="F93" s="29"/>
      <c r="G93" s="30"/>
      <c r="H93" s="30"/>
      <c r="I93"/>
      <c r="J93" s="27">
        <f>B93+0.1</f>
        <v>0.1</v>
      </c>
      <c r="K93" s="44"/>
      <c r="L93" s="30"/>
      <c r="M93" s="30"/>
      <c r="N93" s="16" t="s">
        <v>33</v>
      </c>
      <c r="O93" s="4"/>
      <c r="P93" s="4"/>
      <c r="Q93" s="4"/>
      <c r="R93" s="4"/>
      <c r="S93" s="4"/>
      <c r="T93" s="4"/>
      <c r="U93" s="4"/>
      <c r="V93" s="4"/>
      <c r="W93" s="34" t="str">
        <f t="shared" ref="W93" si="201">IF(AA93&gt;500,"LV",IF(Y93&gt;500,"Flat","Luma"))</f>
        <v>Luma</v>
      </c>
      <c r="X93" s="34"/>
      <c r="Y93" s="49"/>
      <c r="Z93" s="34">
        <f>X93*Y93/1000</f>
        <v>0</v>
      </c>
      <c r="AA93" s="34">
        <f>IF(AE93&gt;AD93,AR93,0)</f>
        <v>0</v>
      </c>
      <c r="AB93" s="39"/>
      <c r="AC93" s="39"/>
      <c r="AD93" s="39"/>
      <c r="AE93" s="46">
        <f>((AG93-(AH93*10))/10)*_xlfn.XLOOKUP(AI93,$R$2:$AJ$2,$R$3:$AJ$3)+(1-((AG93-(AH93*10))/10))*_xlfn.XLOOKUP(AH93,$R$2:$AJ$2,$R$3:$AJ$3)</f>
        <v>0</v>
      </c>
      <c r="AF93" s="31">
        <f>ROUND(AE93*Z93/1000+AD93*(1-Z93/1000),0)</f>
        <v>0</v>
      </c>
      <c r="AG93" s="34"/>
      <c r="AH93" s="31">
        <f>ROUNDDOWN(AG93/10,0)</f>
        <v>0</v>
      </c>
      <c r="AI93" s="31">
        <f>AH93+1</f>
        <v>1</v>
      </c>
      <c r="AJ93" s="34"/>
      <c r="AK93" s="31">
        <f>IF(AJ93&lt;0,0,IF(AJ93&gt;1000,10,ROUNDDOWN(AJ93/100,0)))</f>
        <v>0</v>
      </c>
      <c r="AL93" s="31">
        <f>IF(AJ93&lt;0,1,IF(AJ93&gt;1000,10,AK93+1))</f>
        <v>1</v>
      </c>
      <c r="AM93" s="34" t="e">
        <f>IF(AJ93&lt;0,INT(AS93+((AT93-AS93)*(AG93-AH93*10)/(AI93*10-AH93*10))),IF(AJ93&gt;1000,(AU93+((AV93-AU93)*(AG93-AH93*10)/(AI93*10-AH93*10))),BA93))</f>
        <v>#VALUE!</v>
      </c>
      <c r="AN93" s="31" t="e">
        <f>IF(AJ93&lt;0,INT(AW93+((AX93-AW93)*(AG93-AH93*10)/(AI93*10-AH93*10))),IF(AJ93&gt;1000,(AY93+((AZ93-AY93)*(AG93-AH93*10)/(AI93*10-AH93*10))),BB93))</f>
        <v>#VALUE!</v>
      </c>
      <c r="AO93" s="31"/>
      <c r="AP93" s="31"/>
      <c r="AR93" s="28"/>
      <c r="AS93" s="28" t="e">
        <f>HLOOKUP(AH93,$AQ$6:$BJ$17,AK93+2,FALSE)</f>
        <v>#VALUE!</v>
      </c>
      <c r="AT93" s="28" t="e">
        <f>HLOOKUP(AI93,$AQ$6:$BJ$17,AK93+2,FALSE)</f>
        <v>#VALUE!</v>
      </c>
      <c r="AU93" s="28" t="e">
        <f>HLOOKUP(AH93,$AQ$6:$BJ$17,AL93+2,FALSE)</f>
        <v>#VALUE!</v>
      </c>
      <c r="AV93" s="28" t="e">
        <f>VLOOKUP(AL93,$AQ$6:$BJ$17,AI93+2,FALSE)</f>
        <v>#VALUE!</v>
      </c>
      <c r="AW93" s="28" t="e">
        <f>HLOOKUP(AH93,$BK$6:$CD$17,AK93+2,FALSE)</f>
        <v>#VALUE!</v>
      </c>
      <c r="AX93" s="28" t="e">
        <f>HLOOKUP(AI93,$BK$6:$CD$17,AK93+2,FALSE)</f>
        <v>#VALUE!</v>
      </c>
      <c r="AY93" s="28" t="e">
        <f>HLOOKUP(AH93,$BK$6:$CD$17,AL93+2,FALSE)</f>
        <v>#VALUE!</v>
      </c>
      <c r="AZ93" s="28" t="e">
        <f>HLOOKUP(AI93,$BK$6:$CD$17,AL93+2,FALSE)</f>
        <v>#VALUE!</v>
      </c>
      <c r="BA93" s="28" t="e">
        <f>INT((AS93+((AT93-AS93)*(AG93-AH93*10)/(AI93*10-AH93*10)))+(((AU93+((AV93-AU93)*(AG93-AH93*10)/(AJ93*10-AH93*10)))-(AS93+((AT93-AS93)*(AG93-AH93*10)/(AI93*10-AH93*10))))*(AJ93-AK93*100)/(AL93*100-AK93*100)))</f>
        <v>#VALUE!</v>
      </c>
      <c r="BB93" s="28" t="e">
        <f>INT((AW93+((AX93-AW93)*(AG93-AH93*10)/(AI93*10-AH93*10)))+(((AY93+((AZ93-AY93)*(AG93-AH93*10)/(AJ93*10-AH93*10)))-(AW93+((AX93-AW93)*(AG93-AH93*10)/(AI93*10-AH93*10))))*(AJ93-AK93*100)/(AL93*100-AK93*100)))</f>
        <v>#VALUE!</v>
      </c>
      <c r="BC93" s="28">
        <f>IF(AG93-50&lt;$D$15,$D$15,AG93-50)</f>
        <v>0</v>
      </c>
      <c r="BD93" s="28" t="e">
        <f>_xlfn.XLOOKUP(BC93,$D$15:$H$15,$D$15:$H$15,,-1)</f>
        <v>#N/A</v>
      </c>
      <c r="BE93" s="28">
        <f>_xlfn.XLOOKUP(BC93,$D$15:$H$15,$D$15:$H$15,,1)</f>
        <v>0</v>
      </c>
      <c r="BF93" s="28" t="e">
        <f>_xlfn.XLOOKUP(BC93,$D$15:$H$15,$D$16:$H$16,,-1)</f>
        <v>#N/A</v>
      </c>
      <c r="BG93" s="28">
        <f>_xlfn.XLOOKUP(BC93,$D$15:$H$15,$D$16:$H$16,,1)</f>
        <v>0</v>
      </c>
      <c r="BH93" s="28" t="e">
        <f>_xlfn.XLOOKUP(BC93,$D$15:$H$15,$D$17:$H$17,,-1)</f>
        <v>#N/A</v>
      </c>
      <c r="BI93" s="28">
        <f>_xlfn.XLOOKUP(BC93,$D$15:$H$15,$D$17:$H$17,,1)</f>
        <v>0</v>
      </c>
      <c r="BJ93" s="28" t="e">
        <f>IF(BD93=BE93,BF93,(((BC93-BD93)/(BE93-BD93))*BG93+(1-((BC93-BD93)/(BE93-BD93)))*BF93))</f>
        <v>#N/A</v>
      </c>
      <c r="BK93" s="28" t="e">
        <f>IF(BD93=BE93,BH93,(((BC93-BD93)/(BE93-BD93))*BI93+(1-((BC93-BD93)/(BE93-BD93)))*BH93))</f>
        <v>#N/A</v>
      </c>
    </row>
    <row r="94" spans="2:63" s="3" customFormat="1" ht="24.95" customHeight="1" x14ac:dyDescent="0.25">
      <c r="B94" s="30"/>
      <c r="C94" s="30"/>
      <c r="D94" s="29"/>
      <c r="E94" s="30"/>
      <c r="F94" s="30"/>
      <c r="G94" s="29"/>
      <c r="H94" s="30"/>
      <c r="I94"/>
      <c r="J94" s="27">
        <f>B93+0.2</f>
        <v>0.2</v>
      </c>
      <c r="K94" s="30"/>
      <c r="L94" s="29"/>
      <c r="M94" s="30"/>
      <c r="N94" s="16" t="s">
        <v>34</v>
      </c>
      <c r="O94" s="4"/>
      <c r="P94" s="4"/>
      <c r="Q94" s="4"/>
      <c r="R94" s="4"/>
      <c r="S94" s="4"/>
      <c r="T94" s="4"/>
      <c r="U94" s="4"/>
      <c r="V94" s="4"/>
      <c r="W94" s="30"/>
      <c r="X94" s="34"/>
      <c r="Y94" s="49"/>
      <c r="Z94" s="34"/>
      <c r="AA94" s="34"/>
      <c r="AB94" s="40"/>
      <c r="AC94" s="40"/>
      <c r="AD94" s="40"/>
      <c r="AE94" s="47"/>
      <c r="AF94" s="43"/>
      <c r="AG94" s="30"/>
      <c r="AH94" s="43"/>
      <c r="AI94" s="43"/>
      <c r="AJ94" s="30"/>
      <c r="AK94" s="30"/>
      <c r="AL94" s="30"/>
      <c r="AM94" s="43"/>
      <c r="AN94" s="43"/>
      <c r="AO94" s="43"/>
      <c r="AP94" s="30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</row>
    <row r="95" spans="2:63" s="3" customFormat="1" ht="24.95" customHeight="1" x14ac:dyDescent="0.25">
      <c r="B95" s="30"/>
      <c r="C95" s="30"/>
      <c r="D95" s="29"/>
      <c r="E95" s="30"/>
      <c r="F95" s="30"/>
      <c r="G95" s="29"/>
      <c r="H95" s="30"/>
      <c r="I95"/>
      <c r="J95" s="27">
        <f>B93+0.3</f>
        <v>0.3</v>
      </c>
      <c r="K95" s="30"/>
      <c r="L95" s="29"/>
      <c r="M95" s="30"/>
      <c r="N95" s="16" t="s">
        <v>35</v>
      </c>
      <c r="O95" s="6">
        <f>O94-O93</f>
        <v>0</v>
      </c>
      <c r="P95" s="6">
        <f t="shared" ref="P95" si="202">P94-P93</f>
        <v>0</v>
      </c>
      <c r="Q95" s="6">
        <f t="shared" ref="Q95" si="203">Q94-Q93</f>
        <v>0</v>
      </c>
      <c r="R95" s="6">
        <f t="shared" ref="R95" si="204">R94-R93</f>
        <v>0</v>
      </c>
      <c r="S95" s="6">
        <f t="shared" ref="S95" si="205">S94-S93</f>
        <v>0</v>
      </c>
      <c r="T95" s="6">
        <f t="shared" ref="T95" si="206">T94-T93</f>
        <v>0</v>
      </c>
      <c r="U95" s="6">
        <f t="shared" ref="U95" si="207">U94-U93</f>
        <v>0</v>
      </c>
      <c r="V95" s="6">
        <f t="shared" ref="V95" si="208">V94-V93</f>
        <v>0</v>
      </c>
      <c r="W95" s="30"/>
      <c r="X95" s="34"/>
      <c r="Y95" s="49"/>
      <c r="Z95" s="34"/>
      <c r="AA95" s="34"/>
      <c r="AB95" s="40"/>
      <c r="AC95" s="40"/>
      <c r="AD95" s="40"/>
      <c r="AE95" s="47"/>
      <c r="AF95" s="43"/>
      <c r="AG95" s="30"/>
      <c r="AH95" s="43"/>
      <c r="AI95" s="43"/>
      <c r="AJ95" s="30"/>
      <c r="AK95" s="30"/>
      <c r="AL95" s="30"/>
      <c r="AM95" s="43"/>
      <c r="AN95" s="43"/>
      <c r="AO95" s="43"/>
      <c r="AP95" s="30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</row>
    <row r="96" spans="2:63" s="3" customFormat="1" ht="24.95" customHeight="1" x14ac:dyDescent="0.25">
      <c r="B96" s="30"/>
      <c r="C96" s="30"/>
      <c r="D96" s="29"/>
      <c r="E96" s="30"/>
      <c r="F96" s="30"/>
      <c r="G96" s="29"/>
      <c r="H96" s="30"/>
      <c r="I96"/>
      <c r="J96" s="27">
        <f>B93+0.4</f>
        <v>0.4</v>
      </c>
      <c r="K96" s="30"/>
      <c r="L96" s="29"/>
      <c r="M96" s="30"/>
      <c r="N96" s="16" t="s">
        <v>37</v>
      </c>
      <c r="O96" s="6"/>
      <c r="P96" s="6"/>
      <c r="Q96" s="6"/>
      <c r="R96" s="6"/>
      <c r="S96" s="6"/>
      <c r="T96" s="6"/>
      <c r="U96" s="6"/>
      <c r="V96" s="6"/>
      <c r="W96" s="30"/>
      <c r="X96" s="42">
        <f>1-Y96-AA96</f>
        <v>1</v>
      </c>
      <c r="Y96" s="42">
        <f>Y93/1000*(1-AA93/1000)</f>
        <v>0</v>
      </c>
      <c r="Z96" s="42">
        <f>X96+Y96</f>
        <v>1</v>
      </c>
      <c r="AA96" s="42">
        <f>AA93/1000</f>
        <v>0</v>
      </c>
      <c r="AB96" s="40"/>
      <c r="AC96" s="40"/>
      <c r="AD96" s="40"/>
      <c r="AE96" s="47"/>
      <c r="AF96" s="43"/>
      <c r="AG96" s="30"/>
      <c r="AH96" s="43"/>
      <c r="AI96" s="43"/>
      <c r="AJ96" s="30"/>
      <c r="AK96" s="30"/>
      <c r="AL96" s="30"/>
      <c r="AM96" s="43"/>
      <c r="AN96" s="43"/>
      <c r="AO96" s="43"/>
      <c r="AP96" s="30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</row>
    <row r="97" spans="2:63" s="3" customFormat="1" ht="24.95" customHeight="1" x14ac:dyDescent="0.25">
      <c r="B97" s="30"/>
      <c r="C97" s="30"/>
      <c r="D97" s="29"/>
      <c r="E97" s="30"/>
      <c r="F97" s="30"/>
      <c r="G97" s="29"/>
      <c r="H97" s="30"/>
      <c r="I97"/>
      <c r="J97" s="27">
        <f>B93+0.5</f>
        <v>0.5</v>
      </c>
      <c r="K97" s="30"/>
      <c r="L97" s="29"/>
      <c r="M97" s="30"/>
      <c r="N97" s="16" t="s">
        <v>36</v>
      </c>
      <c r="O97" s="6">
        <f>O96-O93</f>
        <v>0</v>
      </c>
      <c r="P97" s="6">
        <f t="shared" ref="P97" si="209">P96-P93</f>
        <v>0</v>
      </c>
      <c r="Q97" s="6">
        <f t="shared" ref="Q97" si="210">Q96-Q93</f>
        <v>0</v>
      </c>
      <c r="R97" s="6">
        <f t="shared" ref="R97" si="211">R96-R93</f>
        <v>0</v>
      </c>
      <c r="S97" s="6">
        <f t="shared" ref="S97" si="212">S96-S93</f>
        <v>0</v>
      </c>
      <c r="T97" s="6">
        <f t="shared" ref="T97" si="213">T96-T93</f>
        <v>0</v>
      </c>
      <c r="U97" s="6">
        <f t="shared" ref="U97" si="214">U96-U93</f>
        <v>0</v>
      </c>
      <c r="V97" s="6">
        <f t="shared" ref="V97" si="215">V96-V93</f>
        <v>0</v>
      </c>
      <c r="W97" s="30"/>
      <c r="X97" s="42"/>
      <c r="Y97" s="42"/>
      <c r="Z97" s="42"/>
      <c r="AA97" s="42"/>
      <c r="AB97" s="41"/>
      <c r="AC97" s="41"/>
      <c r="AD97" s="41"/>
      <c r="AE97" s="48"/>
      <c r="AF97" s="35"/>
      <c r="AG97" s="30"/>
      <c r="AH97" s="35"/>
      <c r="AI97" s="35"/>
      <c r="AJ97" s="30"/>
      <c r="AK97" s="30"/>
      <c r="AL97" s="30"/>
      <c r="AM97" s="35"/>
      <c r="AN97" s="35"/>
      <c r="AO97" s="35"/>
      <c r="AP97" s="30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</row>
    <row r="98" spans="2:63" s="3" customFormat="1" ht="24.95" customHeight="1" x14ac:dyDescent="0.25">
      <c r="B98" s="29"/>
      <c r="C98" s="29"/>
      <c r="D98" s="30"/>
      <c r="E98" s="30"/>
      <c r="F98" s="29"/>
      <c r="G98" s="30"/>
      <c r="H98" s="30"/>
      <c r="I98"/>
      <c r="J98" s="27">
        <f>B98+0.1</f>
        <v>0.1</v>
      </c>
      <c r="K98" s="44"/>
      <c r="L98" s="30"/>
      <c r="M98" s="30"/>
      <c r="N98" s="16" t="s">
        <v>33</v>
      </c>
      <c r="O98" s="4"/>
      <c r="P98" s="4"/>
      <c r="Q98" s="4"/>
      <c r="R98" s="4"/>
      <c r="S98" s="4"/>
      <c r="T98" s="4"/>
      <c r="U98" s="4"/>
      <c r="V98" s="4"/>
      <c r="W98" s="34" t="str">
        <f t="shared" ref="W98" si="216">IF(AA98&gt;500,"LV",IF(Y98&gt;500,"Flat","Luma"))</f>
        <v>Luma</v>
      </c>
      <c r="X98" s="34"/>
      <c r="Y98" s="49"/>
      <c r="Z98" s="34">
        <f>X98*Y98/1000</f>
        <v>0</v>
      </c>
      <c r="AA98" s="34">
        <f>IF(AE98&gt;AD98,AR98,0)</f>
        <v>0</v>
      </c>
      <c r="AB98" s="39"/>
      <c r="AC98" s="39"/>
      <c r="AD98" s="39"/>
      <c r="AE98" s="46">
        <f>((AG98-(AH98*10))/10)*_xlfn.XLOOKUP(AI98,$R$2:$AJ$2,$R$3:$AJ$3)+(1-((AG98-(AH98*10))/10))*_xlfn.XLOOKUP(AH98,$R$2:$AJ$2,$R$3:$AJ$3)</f>
        <v>0</v>
      </c>
      <c r="AF98" s="31">
        <f>ROUND(AE98*Z98/1000+AD98*(1-Z98/1000),0)</f>
        <v>0</v>
      </c>
      <c r="AG98" s="34"/>
      <c r="AH98" s="31">
        <f>ROUNDDOWN(AG98/10,0)</f>
        <v>0</v>
      </c>
      <c r="AI98" s="31">
        <f>AH98+1</f>
        <v>1</v>
      </c>
      <c r="AJ98" s="34"/>
      <c r="AK98" s="31">
        <f>IF(AJ98&lt;0,0,IF(AJ98&gt;1000,10,ROUNDDOWN(AJ98/100,0)))</f>
        <v>0</v>
      </c>
      <c r="AL98" s="31">
        <f>IF(AJ98&lt;0,1,IF(AJ98&gt;1000,10,AK98+1))</f>
        <v>1</v>
      </c>
      <c r="AM98" s="34" t="e">
        <f>IF(AJ98&lt;0,INT(AS98+((AT98-AS98)*(AG98-AH98*10)/(AI98*10-AH98*10))),IF(AJ98&gt;1000,(AU98+((AV98-AU98)*(AG98-AH98*10)/(AI98*10-AH98*10))),BA98))</f>
        <v>#VALUE!</v>
      </c>
      <c r="AN98" s="31" t="e">
        <f>IF(AJ98&lt;0,INT(AW98+((AX98-AW98)*(AG98-AH98*10)/(AI98*10-AH98*10))),IF(AJ98&gt;1000,(AY98+((AZ98-AY98)*(AG98-AH98*10)/(AI98*10-AH98*10))),BB98))</f>
        <v>#VALUE!</v>
      </c>
      <c r="AO98" s="31"/>
      <c r="AP98" s="31"/>
      <c r="AR98" s="28"/>
      <c r="AS98" s="28" t="e">
        <f>HLOOKUP(AH98,$AQ$6:$BJ$17,AK98+2,FALSE)</f>
        <v>#VALUE!</v>
      </c>
      <c r="AT98" s="28" t="e">
        <f>HLOOKUP(AI98,$AQ$6:$BJ$17,AK98+2,FALSE)</f>
        <v>#VALUE!</v>
      </c>
      <c r="AU98" s="28" t="e">
        <f>HLOOKUP(AH98,$AQ$6:$BJ$17,AL98+2,FALSE)</f>
        <v>#VALUE!</v>
      </c>
      <c r="AV98" s="28" t="e">
        <f>VLOOKUP(AL98,$AQ$6:$BJ$17,AI98+2,FALSE)</f>
        <v>#VALUE!</v>
      </c>
      <c r="AW98" s="28" t="e">
        <f>HLOOKUP(AH98,$BK$6:$CD$17,AK98+2,FALSE)</f>
        <v>#VALUE!</v>
      </c>
      <c r="AX98" s="28" t="e">
        <f>HLOOKUP(AI98,$BK$6:$CD$17,AK98+2,FALSE)</f>
        <v>#VALUE!</v>
      </c>
      <c r="AY98" s="28" t="e">
        <f>HLOOKUP(AH98,$BK$6:$CD$17,AL98+2,FALSE)</f>
        <v>#VALUE!</v>
      </c>
      <c r="AZ98" s="28" t="e">
        <f>HLOOKUP(AI98,$BK$6:$CD$17,AL98+2,FALSE)</f>
        <v>#VALUE!</v>
      </c>
      <c r="BA98" s="28" t="e">
        <f>INT((AS98+((AT98-AS98)*(AG98-AH98*10)/(AI98*10-AH98*10)))+(((AU98+((AV98-AU98)*(AG98-AH98*10)/(AJ98*10-AH98*10)))-(AS98+((AT98-AS98)*(AG98-AH98*10)/(AI98*10-AH98*10))))*(AJ98-AK98*100)/(AL98*100-AK98*100)))</f>
        <v>#VALUE!</v>
      </c>
      <c r="BB98" s="28" t="e">
        <f>INT((AW98+((AX98-AW98)*(AG98-AH98*10)/(AI98*10-AH98*10)))+(((AY98+((AZ98-AY98)*(AG98-AH98*10)/(AJ98*10-AH98*10)))-(AW98+((AX98-AW98)*(AG98-AH98*10)/(AI98*10-AH98*10))))*(AJ98-AK98*100)/(AL98*100-AK98*100)))</f>
        <v>#VALUE!</v>
      </c>
      <c r="BC98" s="28">
        <f>IF(AG98-50&lt;$D$15,$D$15,AG98-50)</f>
        <v>0</v>
      </c>
      <c r="BD98" s="28" t="e">
        <f>_xlfn.XLOOKUP(BC98,$D$15:$H$15,$D$15:$H$15,,-1)</f>
        <v>#N/A</v>
      </c>
      <c r="BE98" s="28">
        <f>_xlfn.XLOOKUP(BC98,$D$15:$H$15,$D$15:$H$15,,1)</f>
        <v>0</v>
      </c>
      <c r="BF98" s="28" t="e">
        <f>_xlfn.XLOOKUP(BC98,$D$15:$H$15,$D$16:$H$16,,-1)</f>
        <v>#N/A</v>
      </c>
      <c r="BG98" s="28">
        <f>_xlfn.XLOOKUP(BC98,$D$15:$H$15,$D$16:$H$16,,1)</f>
        <v>0</v>
      </c>
      <c r="BH98" s="28" t="e">
        <f>_xlfn.XLOOKUP(BC98,$D$15:$H$15,$D$17:$H$17,,-1)</f>
        <v>#N/A</v>
      </c>
      <c r="BI98" s="28">
        <f>_xlfn.XLOOKUP(BC98,$D$15:$H$15,$D$17:$H$17,,1)</f>
        <v>0</v>
      </c>
      <c r="BJ98" s="28" t="e">
        <f>IF(BD98=BE98,BF98,(((BC98-BD98)/(BE98-BD98))*BG98+(1-((BC98-BD98)/(BE98-BD98)))*BF98))</f>
        <v>#N/A</v>
      </c>
      <c r="BK98" s="28" t="e">
        <f>IF(BD98=BE98,BH98,(((BC98-BD98)/(BE98-BD98))*BI98+(1-((BC98-BD98)/(BE98-BD98)))*BH98))</f>
        <v>#N/A</v>
      </c>
    </row>
    <row r="99" spans="2:63" s="3" customFormat="1" ht="24.95" customHeight="1" x14ac:dyDescent="0.25">
      <c r="B99" s="30"/>
      <c r="C99" s="30"/>
      <c r="D99" s="29"/>
      <c r="E99" s="30"/>
      <c r="F99" s="30"/>
      <c r="G99" s="29"/>
      <c r="H99" s="30"/>
      <c r="I99"/>
      <c r="J99" s="27">
        <f>B98+0.2</f>
        <v>0.2</v>
      </c>
      <c r="K99" s="30"/>
      <c r="L99" s="29"/>
      <c r="M99" s="30"/>
      <c r="N99" s="16" t="s">
        <v>34</v>
      </c>
      <c r="O99" s="4"/>
      <c r="P99" s="4"/>
      <c r="Q99" s="4"/>
      <c r="R99" s="4"/>
      <c r="S99" s="4"/>
      <c r="T99" s="4"/>
      <c r="U99" s="4"/>
      <c r="V99" s="4"/>
      <c r="W99" s="30"/>
      <c r="X99" s="34"/>
      <c r="Y99" s="49"/>
      <c r="Z99" s="34"/>
      <c r="AA99" s="34"/>
      <c r="AB99" s="40"/>
      <c r="AC99" s="40"/>
      <c r="AD99" s="40"/>
      <c r="AE99" s="47"/>
      <c r="AF99" s="43"/>
      <c r="AG99" s="30"/>
      <c r="AH99" s="43"/>
      <c r="AI99" s="43"/>
      <c r="AJ99" s="30"/>
      <c r="AK99" s="30"/>
      <c r="AL99" s="30"/>
      <c r="AM99" s="43"/>
      <c r="AN99" s="43"/>
      <c r="AO99" s="43"/>
      <c r="AP99" s="30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</row>
    <row r="100" spans="2:63" s="3" customFormat="1" ht="24.95" customHeight="1" x14ac:dyDescent="0.25">
      <c r="B100" s="30"/>
      <c r="C100" s="30"/>
      <c r="D100" s="29"/>
      <c r="E100" s="30"/>
      <c r="F100" s="30"/>
      <c r="G100" s="29"/>
      <c r="H100" s="30"/>
      <c r="I100"/>
      <c r="J100" s="27">
        <f>B98+0.3</f>
        <v>0.3</v>
      </c>
      <c r="K100" s="30"/>
      <c r="L100" s="29"/>
      <c r="M100" s="30"/>
      <c r="N100" s="16" t="s">
        <v>35</v>
      </c>
      <c r="O100" s="6">
        <f>O99-O98</f>
        <v>0</v>
      </c>
      <c r="P100" s="6">
        <f t="shared" ref="P100" si="217">P99-P98</f>
        <v>0</v>
      </c>
      <c r="Q100" s="6">
        <f t="shared" ref="Q100" si="218">Q99-Q98</f>
        <v>0</v>
      </c>
      <c r="R100" s="6">
        <f t="shared" ref="R100" si="219">R99-R98</f>
        <v>0</v>
      </c>
      <c r="S100" s="6">
        <f t="shared" ref="S100" si="220">S99-S98</f>
        <v>0</v>
      </c>
      <c r="T100" s="6">
        <f t="shared" ref="T100" si="221">T99-T98</f>
        <v>0</v>
      </c>
      <c r="U100" s="6">
        <f t="shared" ref="U100" si="222">U99-U98</f>
        <v>0</v>
      </c>
      <c r="V100" s="6">
        <f t="shared" ref="V100" si="223">V99-V98</f>
        <v>0</v>
      </c>
      <c r="W100" s="30"/>
      <c r="X100" s="34"/>
      <c r="Y100" s="49"/>
      <c r="Z100" s="34"/>
      <c r="AA100" s="34"/>
      <c r="AB100" s="40"/>
      <c r="AC100" s="40"/>
      <c r="AD100" s="40"/>
      <c r="AE100" s="47"/>
      <c r="AF100" s="43"/>
      <c r="AG100" s="30"/>
      <c r="AH100" s="43"/>
      <c r="AI100" s="43"/>
      <c r="AJ100" s="30"/>
      <c r="AK100" s="30"/>
      <c r="AL100" s="30"/>
      <c r="AM100" s="43"/>
      <c r="AN100" s="43"/>
      <c r="AO100" s="43"/>
      <c r="AP100" s="30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</row>
    <row r="101" spans="2:63" s="3" customFormat="1" ht="24.95" customHeight="1" x14ac:dyDescent="0.25">
      <c r="B101" s="30"/>
      <c r="C101" s="30"/>
      <c r="D101" s="29"/>
      <c r="E101" s="30"/>
      <c r="F101" s="30"/>
      <c r="G101" s="29"/>
      <c r="H101" s="30"/>
      <c r="I101"/>
      <c r="J101" s="27">
        <f>B98+0.4</f>
        <v>0.4</v>
      </c>
      <c r="K101" s="30"/>
      <c r="L101" s="29"/>
      <c r="M101" s="30"/>
      <c r="N101" s="16" t="s">
        <v>37</v>
      </c>
      <c r="O101" s="6"/>
      <c r="P101" s="6"/>
      <c r="Q101" s="6"/>
      <c r="R101" s="6"/>
      <c r="S101" s="6"/>
      <c r="T101" s="6"/>
      <c r="U101" s="6"/>
      <c r="V101" s="6"/>
      <c r="W101" s="30"/>
      <c r="X101" s="42">
        <f>1-Y101-AA101</f>
        <v>1</v>
      </c>
      <c r="Y101" s="42">
        <f>Y98/1000*(1-AA98/1000)</f>
        <v>0</v>
      </c>
      <c r="Z101" s="42">
        <f>X101+Y101</f>
        <v>1</v>
      </c>
      <c r="AA101" s="42">
        <f>AA98/1000</f>
        <v>0</v>
      </c>
      <c r="AB101" s="40"/>
      <c r="AC101" s="40"/>
      <c r="AD101" s="40"/>
      <c r="AE101" s="47"/>
      <c r="AF101" s="43"/>
      <c r="AG101" s="30"/>
      <c r="AH101" s="43"/>
      <c r="AI101" s="43"/>
      <c r="AJ101" s="30"/>
      <c r="AK101" s="30"/>
      <c r="AL101" s="30"/>
      <c r="AM101" s="43"/>
      <c r="AN101" s="43"/>
      <c r="AO101" s="43"/>
      <c r="AP101" s="30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</row>
    <row r="102" spans="2:63" s="3" customFormat="1" ht="24.95" customHeight="1" x14ac:dyDescent="0.25">
      <c r="B102" s="30"/>
      <c r="C102" s="30"/>
      <c r="D102" s="29"/>
      <c r="E102" s="30"/>
      <c r="F102" s="30"/>
      <c r="G102" s="29"/>
      <c r="H102" s="30"/>
      <c r="I102"/>
      <c r="J102" s="27">
        <f>B98+0.5</f>
        <v>0.5</v>
      </c>
      <c r="K102" s="30"/>
      <c r="L102" s="29"/>
      <c r="M102" s="30"/>
      <c r="N102" s="16" t="s">
        <v>36</v>
      </c>
      <c r="O102" s="6">
        <f>O101-O98</f>
        <v>0</v>
      </c>
      <c r="P102" s="6">
        <f t="shared" ref="P102" si="224">P101-P98</f>
        <v>0</v>
      </c>
      <c r="Q102" s="6">
        <f t="shared" ref="Q102" si="225">Q101-Q98</f>
        <v>0</v>
      </c>
      <c r="R102" s="6">
        <f t="shared" ref="R102" si="226">R101-R98</f>
        <v>0</v>
      </c>
      <c r="S102" s="6">
        <f t="shared" ref="S102" si="227">S101-S98</f>
        <v>0</v>
      </c>
      <c r="T102" s="6">
        <f t="shared" ref="T102" si="228">T101-T98</f>
        <v>0</v>
      </c>
      <c r="U102" s="6">
        <f t="shared" ref="U102" si="229">U101-U98</f>
        <v>0</v>
      </c>
      <c r="V102" s="6">
        <f t="shared" ref="V102" si="230">V101-V98</f>
        <v>0</v>
      </c>
      <c r="W102" s="30"/>
      <c r="X102" s="42"/>
      <c r="Y102" s="42"/>
      <c r="Z102" s="42"/>
      <c r="AA102" s="42"/>
      <c r="AB102" s="41"/>
      <c r="AC102" s="41"/>
      <c r="AD102" s="41"/>
      <c r="AE102" s="48"/>
      <c r="AF102" s="35"/>
      <c r="AG102" s="30"/>
      <c r="AH102" s="35"/>
      <c r="AI102" s="35"/>
      <c r="AJ102" s="30"/>
      <c r="AK102" s="30"/>
      <c r="AL102" s="30"/>
      <c r="AM102" s="35"/>
      <c r="AN102" s="35"/>
      <c r="AO102" s="35"/>
      <c r="AP102" s="30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</row>
    <row r="103" spans="2:63" s="3" customFormat="1" ht="24.95" customHeight="1" x14ac:dyDescent="0.25">
      <c r="B103" s="29"/>
      <c r="C103" s="29"/>
      <c r="D103" s="30"/>
      <c r="E103" s="30"/>
      <c r="F103" s="29"/>
      <c r="G103" s="30"/>
      <c r="H103" s="30"/>
      <c r="I103"/>
      <c r="J103" s="27">
        <f>B103+0.1</f>
        <v>0.1</v>
      </c>
      <c r="K103" s="44"/>
      <c r="L103" s="30"/>
      <c r="M103" s="30"/>
      <c r="N103" s="16" t="s">
        <v>33</v>
      </c>
      <c r="O103" s="4"/>
      <c r="P103" s="4"/>
      <c r="Q103" s="4"/>
      <c r="R103" s="4"/>
      <c r="S103" s="4"/>
      <c r="T103" s="4"/>
      <c r="U103" s="4"/>
      <c r="V103" s="4"/>
      <c r="W103" s="34" t="str">
        <f t="shared" ref="W103" si="231">IF(AA103&gt;500,"LV",IF(Y103&gt;500,"Flat","Luma"))</f>
        <v>Luma</v>
      </c>
      <c r="X103" s="34"/>
      <c r="Y103" s="49"/>
      <c r="Z103" s="34">
        <f>X103*Y103/1000</f>
        <v>0</v>
      </c>
      <c r="AA103" s="34">
        <f>IF(AE103&gt;AD103,AR103,0)</f>
        <v>0</v>
      </c>
      <c r="AB103" s="39"/>
      <c r="AC103" s="39"/>
      <c r="AD103" s="39"/>
      <c r="AE103" s="46">
        <f>((AG103-(AH103*10))/10)*_xlfn.XLOOKUP(AI103,$R$2:$AJ$2,$R$3:$AJ$3)+(1-((AG103-(AH103*10))/10))*_xlfn.XLOOKUP(AH103,$R$2:$AJ$2,$R$3:$AJ$3)</f>
        <v>0</v>
      </c>
      <c r="AF103" s="31">
        <f>ROUND(AE103*Z103/1000+AD103*(1-Z103/1000),0)</f>
        <v>0</v>
      </c>
      <c r="AG103" s="34"/>
      <c r="AH103" s="31">
        <f>ROUNDDOWN(AG103/10,0)</f>
        <v>0</v>
      </c>
      <c r="AI103" s="31">
        <f>AH103+1</f>
        <v>1</v>
      </c>
      <c r="AJ103" s="34"/>
      <c r="AK103" s="31">
        <f>IF(AJ103&lt;0,0,IF(AJ103&gt;1000,10,ROUNDDOWN(AJ103/100,0)))</f>
        <v>0</v>
      </c>
      <c r="AL103" s="31">
        <f>IF(AJ103&lt;0,1,IF(AJ103&gt;1000,10,AK103+1))</f>
        <v>1</v>
      </c>
      <c r="AM103" s="34" t="e">
        <f>IF(AJ103&lt;0,INT(AS103+((AT103-AS103)*(AG103-AH103*10)/(AI103*10-AH103*10))),IF(AJ103&gt;1000,(AU103+((AV103-AU103)*(AG103-AH103*10)/(AI103*10-AH103*10))),BA103))</f>
        <v>#VALUE!</v>
      </c>
      <c r="AN103" s="31" t="e">
        <f>IF(AJ103&lt;0,INT(AW103+((AX103-AW103)*(AG103-AH103*10)/(AI103*10-AH103*10))),IF(AJ103&gt;1000,(AY103+((AZ103-AY103)*(AG103-AH103*10)/(AI103*10-AH103*10))),BB103))</f>
        <v>#VALUE!</v>
      </c>
      <c r="AO103" s="31"/>
      <c r="AP103" s="31"/>
      <c r="AR103" s="28"/>
      <c r="AS103" s="28" t="e">
        <f>HLOOKUP(AH103,$AQ$6:$BJ$17,AK103+2,FALSE)</f>
        <v>#VALUE!</v>
      </c>
      <c r="AT103" s="28" t="e">
        <f>HLOOKUP(AI103,$AQ$6:$BJ$17,AK103+2,FALSE)</f>
        <v>#VALUE!</v>
      </c>
      <c r="AU103" s="28" t="e">
        <f>HLOOKUP(AH103,$AQ$6:$BJ$17,AL103+2,FALSE)</f>
        <v>#VALUE!</v>
      </c>
      <c r="AV103" s="28" t="e">
        <f>VLOOKUP(AL103,$AQ$6:$BJ$17,AI103+2,FALSE)</f>
        <v>#VALUE!</v>
      </c>
      <c r="AW103" s="28" t="e">
        <f>HLOOKUP(AH103,$BK$6:$CD$17,AK103+2,FALSE)</f>
        <v>#VALUE!</v>
      </c>
      <c r="AX103" s="28" t="e">
        <f>HLOOKUP(AI103,$BK$6:$CD$17,AK103+2,FALSE)</f>
        <v>#VALUE!</v>
      </c>
      <c r="AY103" s="28" t="e">
        <f>HLOOKUP(AH103,$BK$6:$CD$17,AL103+2,FALSE)</f>
        <v>#VALUE!</v>
      </c>
      <c r="AZ103" s="28" t="e">
        <f>HLOOKUP(AI103,$BK$6:$CD$17,AL103+2,FALSE)</f>
        <v>#VALUE!</v>
      </c>
      <c r="BA103" s="28" t="e">
        <f>INT((AS103+((AT103-AS103)*(AG103-AH103*10)/(AI103*10-AH103*10)))+(((AU103+((AV103-AU103)*(AG103-AH103*10)/(AJ103*10-AH103*10)))-(AS103+((AT103-AS103)*(AG103-AH103*10)/(AI103*10-AH103*10))))*(AJ103-AK103*100)/(AL103*100-AK103*100)))</f>
        <v>#VALUE!</v>
      </c>
      <c r="BB103" s="28" t="e">
        <f>INT((AW103+((AX103-AW103)*(AG103-AH103*10)/(AI103*10-AH103*10)))+(((AY103+((AZ103-AY103)*(AG103-AH103*10)/(AJ103*10-AH103*10)))-(AW103+((AX103-AW103)*(AG103-AH103*10)/(AI103*10-AH103*10))))*(AJ103-AK103*100)/(AL103*100-AK103*100)))</f>
        <v>#VALUE!</v>
      </c>
      <c r="BC103" s="28">
        <f>IF(AG103-50&lt;$D$15,$D$15,AG103-50)</f>
        <v>0</v>
      </c>
      <c r="BD103" s="28" t="e">
        <f>_xlfn.XLOOKUP(BC103,$D$15:$H$15,$D$15:$H$15,,-1)</f>
        <v>#N/A</v>
      </c>
      <c r="BE103" s="28">
        <f>_xlfn.XLOOKUP(BC103,$D$15:$H$15,$D$15:$H$15,,1)</f>
        <v>0</v>
      </c>
      <c r="BF103" s="28" t="e">
        <f>_xlfn.XLOOKUP(BC103,$D$15:$H$15,$D$16:$H$16,,-1)</f>
        <v>#N/A</v>
      </c>
      <c r="BG103" s="28">
        <f>_xlfn.XLOOKUP(BC103,$D$15:$H$15,$D$16:$H$16,,1)</f>
        <v>0</v>
      </c>
      <c r="BH103" s="28" t="e">
        <f>_xlfn.XLOOKUP(BC103,$D$15:$H$15,$D$17:$H$17,,-1)</f>
        <v>#N/A</v>
      </c>
      <c r="BI103" s="28">
        <f>_xlfn.XLOOKUP(BC103,$D$15:$H$15,$D$17:$H$17,,1)</f>
        <v>0</v>
      </c>
      <c r="BJ103" s="28" t="e">
        <f>IF(BD103=BE103,BF103,(((BC103-BD103)/(BE103-BD103))*BG103+(1-((BC103-BD103)/(BE103-BD103)))*BF103))</f>
        <v>#N/A</v>
      </c>
      <c r="BK103" s="28" t="e">
        <f>IF(BD103=BE103,BH103,(((BC103-BD103)/(BE103-BD103))*BI103+(1-((BC103-BD103)/(BE103-BD103)))*BH103))</f>
        <v>#N/A</v>
      </c>
    </row>
    <row r="104" spans="2:63" s="3" customFormat="1" ht="24.95" customHeight="1" x14ac:dyDescent="0.25">
      <c r="B104" s="30"/>
      <c r="C104" s="30"/>
      <c r="D104" s="29"/>
      <c r="E104" s="30"/>
      <c r="F104" s="30"/>
      <c r="G104" s="29"/>
      <c r="H104" s="30"/>
      <c r="I104"/>
      <c r="J104" s="27">
        <f>B103+0.2</f>
        <v>0.2</v>
      </c>
      <c r="K104" s="30"/>
      <c r="L104" s="29"/>
      <c r="M104" s="30"/>
      <c r="N104" s="16" t="s">
        <v>34</v>
      </c>
      <c r="O104" s="4"/>
      <c r="P104" s="4"/>
      <c r="Q104" s="4"/>
      <c r="R104" s="4"/>
      <c r="S104" s="4"/>
      <c r="T104" s="4"/>
      <c r="U104" s="4"/>
      <c r="V104" s="4"/>
      <c r="W104" s="30"/>
      <c r="X104" s="34"/>
      <c r="Y104" s="49"/>
      <c r="Z104" s="34"/>
      <c r="AA104" s="34"/>
      <c r="AB104" s="40"/>
      <c r="AC104" s="40"/>
      <c r="AD104" s="40"/>
      <c r="AE104" s="47"/>
      <c r="AF104" s="43"/>
      <c r="AG104" s="30"/>
      <c r="AH104" s="43"/>
      <c r="AI104" s="43"/>
      <c r="AJ104" s="30"/>
      <c r="AK104" s="30"/>
      <c r="AL104" s="30"/>
      <c r="AM104" s="43"/>
      <c r="AN104" s="43"/>
      <c r="AO104" s="43"/>
      <c r="AP104" s="30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</row>
    <row r="105" spans="2:63" s="3" customFormat="1" ht="24.95" customHeight="1" x14ac:dyDescent="0.25">
      <c r="B105" s="30"/>
      <c r="C105" s="30"/>
      <c r="D105" s="29"/>
      <c r="E105" s="30"/>
      <c r="F105" s="30"/>
      <c r="G105" s="29"/>
      <c r="H105" s="30"/>
      <c r="I105"/>
      <c r="J105" s="27">
        <f>B103+0.3</f>
        <v>0.3</v>
      </c>
      <c r="K105" s="30"/>
      <c r="L105" s="29"/>
      <c r="M105" s="30"/>
      <c r="N105" s="16" t="s">
        <v>35</v>
      </c>
      <c r="O105" s="6">
        <f>O104-O103</f>
        <v>0</v>
      </c>
      <c r="P105" s="6">
        <f t="shared" ref="P105" si="232">P104-P103</f>
        <v>0</v>
      </c>
      <c r="Q105" s="6">
        <f t="shared" ref="Q105" si="233">Q104-Q103</f>
        <v>0</v>
      </c>
      <c r="R105" s="6">
        <f t="shared" ref="R105" si="234">R104-R103</f>
        <v>0</v>
      </c>
      <c r="S105" s="6">
        <f t="shared" ref="S105" si="235">S104-S103</f>
        <v>0</v>
      </c>
      <c r="T105" s="6">
        <f t="shared" ref="T105" si="236">T104-T103</f>
        <v>0</v>
      </c>
      <c r="U105" s="6">
        <f t="shared" ref="U105" si="237">U104-U103</f>
        <v>0</v>
      </c>
      <c r="V105" s="6">
        <f t="shared" ref="V105" si="238">V104-V103</f>
        <v>0</v>
      </c>
      <c r="W105" s="30"/>
      <c r="X105" s="34"/>
      <c r="Y105" s="49"/>
      <c r="Z105" s="34"/>
      <c r="AA105" s="34"/>
      <c r="AB105" s="40"/>
      <c r="AC105" s="40"/>
      <c r="AD105" s="40"/>
      <c r="AE105" s="47"/>
      <c r="AF105" s="43"/>
      <c r="AG105" s="30"/>
      <c r="AH105" s="43"/>
      <c r="AI105" s="43"/>
      <c r="AJ105" s="30"/>
      <c r="AK105" s="30"/>
      <c r="AL105" s="30"/>
      <c r="AM105" s="43"/>
      <c r="AN105" s="43"/>
      <c r="AO105" s="43"/>
      <c r="AP105" s="30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</row>
    <row r="106" spans="2:63" s="3" customFormat="1" ht="24.95" customHeight="1" x14ac:dyDescent="0.25">
      <c r="B106" s="30"/>
      <c r="C106" s="30"/>
      <c r="D106" s="29"/>
      <c r="E106" s="30"/>
      <c r="F106" s="30"/>
      <c r="G106" s="29"/>
      <c r="H106" s="30"/>
      <c r="I106"/>
      <c r="J106" s="27">
        <f>B103+0.4</f>
        <v>0.4</v>
      </c>
      <c r="K106" s="30"/>
      <c r="L106" s="29"/>
      <c r="M106" s="30"/>
      <c r="N106" s="16" t="s">
        <v>37</v>
      </c>
      <c r="O106" s="6"/>
      <c r="P106" s="6"/>
      <c r="Q106" s="6"/>
      <c r="R106" s="6"/>
      <c r="S106" s="6"/>
      <c r="T106" s="6"/>
      <c r="U106" s="6"/>
      <c r="V106" s="6"/>
      <c r="W106" s="30"/>
      <c r="X106" s="42">
        <f>1-Y106-AA106</f>
        <v>1</v>
      </c>
      <c r="Y106" s="42">
        <f>Y103/1000*(1-AA103/1000)</f>
        <v>0</v>
      </c>
      <c r="Z106" s="42">
        <f>X106+Y106</f>
        <v>1</v>
      </c>
      <c r="AA106" s="42">
        <f>AA103/1000</f>
        <v>0</v>
      </c>
      <c r="AB106" s="40"/>
      <c r="AC106" s="40"/>
      <c r="AD106" s="40"/>
      <c r="AE106" s="47"/>
      <c r="AF106" s="43"/>
      <c r="AG106" s="30"/>
      <c r="AH106" s="43"/>
      <c r="AI106" s="43"/>
      <c r="AJ106" s="30"/>
      <c r="AK106" s="30"/>
      <c r="AL106" s="30"/>
      <c r="AM106" s="43"/>
      <c r="AN106" s="43"/>
      <c r="AO106" s="43"/>
      <c r="AP106" s="30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</row>
    <row r="107" spans="2:63" s="3" customFormat="1" ht="24.95" customHeight="1" x14ac:dyDescent="0.25">
      <c r="B107" s="30"/>
      <c r="C107" s="30"/>
      <c r="D107" s="29"/>
      <c r="E107" s="30"/>
      <c r="F107" s="30"/>
      <c r="G107" s="29"/>
      <c r="H107" s="30"/>
      <c r="I107"/>
      <c r="J107" s="27">
        <f>B103+0.5</f>
        <v>0.5</v>
      </c>
      <c r="K107" s="30"/>
      <c r="L107" s="29"/>
      <c r="M107" s="30"/>
      <c r="N107" s="16" t="s">
        <v>36</v>
      </c>
      <c r="O107" s="6">
        <f>O106-O103</f>
        <v>0</v>
      </c>
      <c r="P107" s="6">
        <f t="shared" ref="P107" si="239">P106-P103</f>
        <v>0</v>
      </c>
      <c r="Q107" s="6">
        <f t="shared" ref="Q107" si="240">Q106-Q103</f>
        <v>0</v>
      </c>
      <c r="R107" s="6">
        <f t="shared" ref="R107" si="241">R106-R103</f>
        <v>0</v>
      </c>
      <c r="S107" s="6">
        <f t="shared" ref="S107" si="242">S106-S103</f>
        <v>0</v>
      </c>
      <c r="T107" s="6">
        <f t="shared" ref="T107" si="243">T106-T103</f>
        <v>0</v>
      </c>
      <c r="U107" s="6">
        <f t="shared" ref="U107" si="244">U106-U103</f>
        <v>0</v>
      </c>
      <c r="V107" s="6">
        <f t="shared" ref="V107" si="245">V106-V103</f>
        <v>0</v>
      </c>
      <c r="W107" s="30"/>
      <c r="X107" s="42"/>
      <c r="Y107" s="42"/>
      <c r="Z107" s="42"/>
      <c r="AA107" s="42"/>
      <c r="AB107" s="41"/>
      <c r="AC107" s="41"/>
      <c r="AD107" s="41"/>
      <c r="AE107" s="48"/>
      <c r="AF107" s="35"/>
      <c r="AG107" s="30"/>
      <c r="AH107" s="35"/>
      <c r="AI107" s="35"/>
      <c r="AJ107" s="30"/>
      <c r="AK107" s="30"/>
      <c r="AL107" s="30"/>
      <c r="AM107" s="35"/>
      <c r="AN107" s="35"/>
      <c r="AO107" s="35"/>
      <c r="AP107" s="30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</row>
    <row r="108" spans="2:63" s="3" customFormat="1" ht="24.95" customHeight="1" x14ac:dyDescent="0.25">
      <c r="B108" s="29"/>
      <c r="C108" s="29"/>
      <c r="D108" s="30"/>
      <c r="E108" s="30"/>
      <c r="F108" s="29"/>
      <c r="G108" s="30"/>
      <c r="H108" s="30"/>
      <c r="I108"/>
      <c r="J108" s="27">
        <f>B108+0.1</f>
        <v>0.1</v>
      </c>
      <c r="K108" s="44"/>
      <c r="L108" s="30"/>
      <c r="M108" s="30"/>
      <c r="N108" s="16" t="s">
        <v>33</v>
      </c>
      <c r="O108" s="4"/>
      <c r="P108" s="4"/>
      <c r="Q108" s="4"/>
      <c r="R108" s="4"/>
      <c r="S108" s="4"/>
      <c r="T108" s="4"/>
      <c r="U108" s="4"/>
      <c r="V108" s="4"/>
      <c r="W108" s="34" t="str">
        <f t="shared" ref="W108" si="246">IF(AA108&gt;500,"LV",IF(Y108&gt;500,"Flat","Luma"))</f>
        <v>Luma</v>
      </c>
      <c r="X108" s="34"/>
      <c r="Y108" s="49"/>
      <c r="Z108" s="34">
        <f>X108*Y108/1000</f>
        <v>0</v>
      </c>
      <c r="AA108" s="34">
        <f>IF(AE108&gt;AD108,AR108,0)</f>
        <v>0</v>
      </c>
      <c r="AB108" s="39"/>
      <c r="AC108" s="39"/>
      <c r="AD108" s="39"/>
      <c r="AE108" s="46">
        <f>((AG108-(AH108*10))/10)*_xlfn.XLOOKUP(AI108,$R$2:$AJ$2,$R$3:$AJ$3)+(1-((AG108-(AH108*10))/10))*_xlfn.XLOOKUP(AH108,$R$2:$AJ$2,$R$3:$AJ$3)</f>
        <v>0</v>
      </c>
      <c r="AF108" s="31">
        <f>ROUND(AE108*Z108/1000+AD108*(1-Z108/1000),0)</f>
        <v>0</v>
      </c>
      <c r="AG108" s="34"/>
      <c r="AH108" s="31">
        <f>ROUNDDOWN(AG108/10,0)</f>
        <v>0</v>
      </c>
      <c r="AI108" s="31">
        <f>AH108+1</f>
        <v>1</v>
      </c>
      <c r="AJ108" s="34"/>
      <c r="AK108" s="31">
        <f>IF(AJ108&lt;0,0,IF(AJ108&gt;1000,10,ROUNDDOWN(AJ108/100,0)))</f>
        <v>0</v>
      </c>
      <c r="AL108" s="31">
        <f>IF(AJ108&lt;0,1,IF(AJ108&gt;1000,10,AK108+1))</f>
        <v>1</v>
      </c>
      <c r="AM108" s="34" t="e">
        <f>IF(AJ108&lt;0,INT(AS108+((AT108-AS108)*(AG108-AH108*10)/(AI108*10-AH108*10))),IF(AJ108&gt;1000,(AU108+((AV108-AU108)*(AG108-AH108*10)/(AI108*10-AH108*10))),BA108))</f>
        <v>#VALUE!</v>
      </c>
      <c r="AN108" s="31" t="e">
        <f>IF(AJ108&lt;0,INT(AW108+((AX108-AW108)*(AG108-AH108*10)/(AI108*10-AH108*10))),IF(AJ108&gt;1000,(AY108+((AZ108-AY108)*(AG108-AH108*10)/(AI108*10-AH108*10))),BB108))</f>
        <v>#VALUE!</v>
      </c>
      <c r="AO108" s="31"/>
      <c r="AP108" s="31"/>
      <c r="AR108" s="28"/>
      <c r="AS108" s="28" t="e">
        <f>HLOOKUP(AH108,$AQ$6:$BJ$17,AK108+2,FALSE)</f>
        <v>#VALUE!</v>
      </c>
      <c r="AT108" s="28" t="e">
        <f>HLOOKUP(AI108,$AQ$6:$BJ$17,AK108+2,FALSE)</f>
        <v>#VALUE!</v>
      </c>
      <c r="AU108" s="28" t="e">
        <f>HLOOKUP(AH108,$AQ$6:$BJ$17,AL108+2,FALSE)</f>
        <v>#VALUE!</v>
      </c>
      <c r="AV108" s="28" t="e">
        <f>VLOOKUP(AL108,$AQ$6:$BJ$17,AI108+2,FALSE)</f>
        <v>#VALUE!</v>
      </c>
      <c r="AW108" s="28" t="e">
        <f>HLOOKUP(AH108,$BK$6:$CD$17,AK108+2,FALSE)</f>
        <v>#VALUE!</v>
      </c>
      <c r="AX108" s="28" t="e">
        <f>HLOOKUP(AI108,$BK$6:$CD$17,AK108+2,FALSE)</f>
        <v>#VALUE!</v>
      </c>
      <c r="AY108" s="28" t="e">
        <f>HLOOKUP(AH108,$BK$6:$CD$17,AL108+2,FALSE)</f>
        <v>#VALUE!</v>
      </c>
      <c r="AZ108" s="28" t="e">
        <f>HLOOKUP(AI108,$BK$6:$CD$17,AL108+2,FALSE)</f>
        <v>#VALUE!</v>
      </c>
      <c r="BA108" s="28" t="e">
        <f>INT((AS108+((AT108-AS108)*(AG108-AH108*10)/(AI108*10-AH108*10)))+(((AU108+((AV108-AU108)*(AG108-AH108*10)/(AJ108*10-AH108*10)))-(AS108+((AT108-AS108)*(AG108-AH108*10)/(AI108*10-AH108*10))))*(AJ108-AK108*100)/(AL108*100-AK108*100)))</f>
        <v>#VALUE!</v>
      </c>
      <c r="BB108" s="28" t="e">
        <f>INT((AW108+((AX108-AW108)*(AG108-AH108*10)/(AI108*10-AH108*10)))+(((AY108+((AZ108-AY108)*(AG108-AH108*10)/(AJ108*10-AH108*10)))-(AW108+((AX108-AW108)*(AG108-AH108*10)/(AI108*10-AH108*10))))*(AJ108-AK108*100)/(AL108*100-AK108*100)))</f>
        <v>#VALUE!</v>
      </c>
      <c r="BC108" s="28">
        <f>IF(AG108-50&lt;$D$15,$D$15,AG108-50)</f>
        <v>0</v>
      </c>
      <c r="BD108" s="28" t="e">
        <f>_xlfn.XLOOKUP(BC108,$D$15:$H$15,$D$15:$H$15,,-1)</f>
        <v>#N/A</v>
      </c>
      <c r="BE108" s="28">
        <f>_xlfn.XLOOKUP(BC108,$D$15:$H$15,$D$15:$H$15,,1)</f>
        <v>0</v>
      </c>
      <c r="BF108" s="28" t="e">
        <f>_xlfn.XLOOKUP(BC108,$D$15:$H$15,$D$16:$H$16,,-1)</f>
        <v>#N/A</v>
      </c>
      <c r="BG108" s="28">
        <f>_xlfn.XLOOKUP(BC108,$D$15:$H$15,$D$16:$H$16,,1)</f>
        <v>0</v>
      </c>
      <c r="BH108" s="28" t="e">
        <f>_xlfn.XLOOKUP(BC108,$D$15:$H$15,$D$17:$H$17,,-1)</f>
        <v>#N/A</v>
      </c>
      <c r="BI108" s="28">
        <f>_xlfn.XLOOKUP(BC108,$D$15:$H$15,$D$17:$H$17,,1)</f>
        <v>0</v>
      </c>
      <c r="BJ108" s="28" t="e">
        <f>IF(BD108=BE108,BF108,(((BC108-BD108)/(BE108-BD108))*BG108+(1-((BC108-BD108)/(BE108-BD108)))*BF108))</f>
        <v>#N/A</v>
      </c>
      <c r="BK108" s="28" t="e">
        <f>IF(BD108=BE108,BH108,(((BC108-BD108)/(BE108-BD108))*BI108+(1-((BC108-BD108)/(BE108-BD108)))*BH108))</f>
        <v>#N/A</v>
      </c>
    </row>
    <row r="109" spans="2:63" s="3" customFormat="1" ht="24.95" customHeight="1" x14ac:dyDescent="0.25">
      <c r="B109" s="30"/>
      <c r="C109" s="30"/>
      <c r="D109" s="29"/>
      <c r="E109" s="30"/>
      <c r="F109" s="30"/>
      <c r="G109" s="29"/>
      <c r="H109" s="30"/>
      <c r="I109"/>
      <c r="J109" s="27">
        <f>B108+0.2</f>
        <v>0.2</v>
      </c>
      <c r="K109" s="30"/>
      <c r="L109" s="29"/>
      <c r="M109" s="30"/>
      <c r="N109" s="16" t="s">
        <v>34</v>
      </c>
      <c r="O109" s="4"/>
      <c r="P109" s="4"/>
      <c r="Q109" s="4"/>
      <c r="R109" s="4"/>
      <c r="S109" s="4"/>
      <c r="T109" s="4"/>
      <c r="U109" s="4"/>
      <c r="V109" s="4"/>
      <c r="W109" s="30"/>
      <c r="X109" s="34"/>
      <c r="Y109" s="49"/>
      <c r="Z109" s="34"/>
      <c r="AA109" s="34"/>
      <c r="AB109" s="40"/>
      <c r="AC109" s="40"/>
      <c r="AD109" s="40"/>
      <c r="AE109" s="47"/>
      <c r="AF109" s="43"/>
      <c r="AG109" s="30"/>
      <c r="AH109" s="43"/>
      <c r="AI109" s="43"/>
      <c r="AJ109" s="30"/>
      <c r="AK109" s="30"/>
      <c r="AL109" s="30"/>
      <c r="AM109" s="43"/>
      <c r="AN109" s="43"/>
      <c r="AO109" s="43"/>
      <c r="AP109" s="30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</row>
    <row r="110" spans="2:63" s="3" customFormat="1" ht="24.95" customHeight="1" x14ac:dyDescent="0.25">
      <c r="B110" s="30"/>
      <c r="C110" s="30"/>
      <c r="D110" s="29"/>
      <c r="E110" s="30"/>
      <c r="F110" s="30"/>
      <c r="G110" s="29"/>
      <c r="H110" s="30"/>
      <c r="I110"/>
      <c r="J110" s="27">
        <f>B108+0.3</f>
        <v>0.3</v>
      </c>
      <c r="K110" s="30"/>
      <c r="L110" s="29"/>
      <c r="M110" s="30"/>
      <c r="N110" s="16" t="s">
        <v>35</v>
      </c>
      <c r="O110" s="6">
        <f>O109-O108</f>
        <v>0</v>
      </c>
      <c r="P110" s="6">
        <f t="shared" ref="P110" si="247">P109-P108</f>
        <v>0</v>
      </c>
      <c r="Q110" s="6">
        <f t="shared" ref="Q110" si="248">Q109-Q108</f>
        <v>0</v>
      </c>
      <c r="R110" s="6">
        <f t="shared" ref="R110" si="249">R109-R108</f>
        <v>0</v>
      </c>
      <c r="S110" s="6">
        <f t="shared" ref="S110" si="250">S109-S108</f>
        <v>0</v>
      </c>
      <c r="T110" s="6">
        <f t="shared" ref="T110" si="251">T109-T108</f>
        <v>0</v>
      </c>
      <c r="U110" s="6">
        <f t="shared" ref="U110" si="252">U109-U108</f>
        <v>0</v>
      </c>
      <c r="V110" s="6">
        <f t="shared" ref="V110" si="253">V109-V108</f>
        <v>0</v>
      </c>
      <c r="W110" s="30"/>
      <c r="X110" s="34"/>
      <c r="Y110" s="49"/>
      <c r="Z110" s="34"/>
      <c r="AA110" s="34"/>
      <c r="AB110" s="40"/>
      <c r="AC110" s="40"/>
      <c r="AD110" s="40"/>
      <c r="AE110" s="47"/>
      <c r="AF110" s="43"/>
      <c r="AG110" s="30"/>
      <c r="AH110" s="43"/>
      <c r="AI110" s="43"/>
      <c r="AJ110" s="30"/>
      <c r="AK110" s="30"/>
      <c r="AL110" s="30"/>
      <c r="AM110" s="43"/>
      <c r="AN110" s="43"/>
      <c r="AO110" s="43"/>
      <c r="AP110" s="30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</row>
    <row r="111" spans="2:63" s="3" customFormat="1" ht="24.95" customHeight="1" x14ac:dyDescent="0.25">
      <c r="B111" s="30"/>
      <c r="C111" s="30"/>
      <c r="D111" s="29"/>
      <c r="E111" s="30"/>
      <c r="F111" s="30"/>
      <c r="G111" s="29"/>
      <c r="H111" s="30"/>
      <c r="I111"/>
      <c r="J111" s="27">
        <f>B108+0.4</f>
        <v>0.4</v>
      </c>
      <c r="K111" s="30"/>
      <c r="L111" s="29"/>
      <c r="M111" s="30"/>
      <c r="N111" s="16" t="s">
        <v>37</v>
      </c>
      <c r="O111" s="6"/>
      <c r="P111" s="6"/>
      <c r="Q111" s="6"/>
      <c r="R111" s="6"/>
      <c r="S111" s="6"/>
      <c r="T111" s="6"/>
      <c r="U111" s="6"/>
      <c r="V111" s="6"/>
      <c r="W111" s="30"/>
      <c r="X111" s="42">
        <f>1-Y111-AA111</f>
        <v>1</v>
      </c>
      <c r="Y111" s="42">
        <f>Y108/1000*(1-AA108/1000)</f>
        <v>0</v>
      </c>
      <c r="Z111" s="42">
        <f>X111+Y111</f>
        <v>1</v>
      </c>
      <c r="AA111" s="42">
        <f>AA108/1000</f>
        <v>0</v>
      </c>
      <c r="AB111" s="40"/>
      <c r="AC111" s="40"/>
      <c r="AD111" s="40"/>
      <c r="AE111" s="47"/>
      <c r="AF111" s="43"/>
      <c r="AG111" s="30"/>
      <c r="AH111" s="43"/>
      <c r="AI111" s="43"/>
      <c r="AJ111" s="30"/>
      <c r="AK111" s="30"/>
      <c r="AL111" s="30"/>
      <c r="AM111" s="43"/>
      <c r="AN111" s="43"/>
      <c r="AO111" s="43"/>
      <c r="AP111" s="30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</row>
    <row r="112" spans="2:63" s="3" customFormat="1" ht="24.95" customHeight="1" x14ac:dyDescent="0.25">
      <c r="B112" s="30"/>
      <c r="C112" s="30"/>
      <c r="D112" s="29"/>
      <c r="E112" s="30"/>
      <c r="F112" s="30"/>
      <c r="G112" s="29"/>
      <c r="H112" s="30"/>
      <c r="I112"/>
      <c r="J112" s="27">
        <f>B108+0.5</f>
        <v>0.5</v>
      </c>
      <c r="K112" s="30"/>
      <c r="L112" s="29"/>
      <c r="M112" s="30"/>
      <c r="N112" s="16" t="s">
        <v>36</v>
      </c>
      <c r="O112" s="6">
        <f>O111-O108</f>
        <v>0</v>
      </c>
      <c r="P112" s="6">
        <f t="shared" ref="P112" si="254">P111-P108</f>
        <v>0</v>
      </c>
      <c r="Q112" s="6">
        <f t="shared" ref="Q112" si="255">Q111-Q108</f>
        <v>0</v>
      </c>
      <c r="R112" s="6">
        <f t="shared" ref="R112" si="256">R111-R108</f>
        <v>0</v>
      </c>
      <c r="S112" s="6">
        <f t="shared" ref="S112" si="257">S111-S108</f>
        <v>0</v>
      </c>
      <c r="T112" s="6">
        <f t="shared" ref="T112" si="258">T111-T108</f>
        <v>0</v>
      </c>
      <c r="U112" s="6">
        <f t="shared" ref="U112" si="259">U111-U108</f>
        <v>0</v>
      </c>
      <c r="V112" s="6">
        <f t="shared" ref="V112" si="260">V111-V108</f>
        <v>0</v>
      </c>
      <c r="W112" s="30"/>
      <c r="X112" s="42"/>
      <c r="Y112" s="42"/>
      <c r="Z112" s="42"/>
      <c r="AA112" s="42"/>
      <c r="AB112" s="41"/>
      <c r="AC112" s="41"/>
      <c r="AD112" s="41"/>
      <c r="AE112" s="48"/>
      <c r="AF112" s="35"/>
      <c r="AG112" s="30"/>
      <c r="AH112" s="35"/>
      <c r="AI112" s="35"/>
      <c r="AJ112" s="30"/>
      <c r="AK112" s="30"/>
      <c r="AL112" s="30"/>
      <c r="AM112" s="35"/>
      <c r="AN112" s="35"/>
      <c r="AO112" s="35"/>
      <c r="AP112" s="30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</row>
    <row r="113" spans="2:63" s="3" customFormat="1" ht="24.95" customHeight="1" x14ac:dyDescent="0.25">
      <c r="B113" s="29"/>
      <c r="C113" s="29"/>
      <c r="D113" s="30"/>
      <c r="E113" s="30"/>
      <c r="F113" s="29"/>
      <c r="G113" s="30"/>
      <c r="H113" s="30"/>
      <c r="I113"/>
      <c r="J113" s="27">
        <f>B113+0.1</f>
        <v>0.1</v>
      </c>
      <c r="K113" s="44"/>
      <c r="L113" s="30"/>
      <c r="M113" s="30"/>
      <c r="N113" s="16" t="s">
        <v>33</v>
      </c>
      <c r="O113" s="4"/>
      <c r="P113" s="4"/>
      <c r="Q113" s="4"/>
      <c r="R113" s="4"/>
      <c r="S113" s="4"/>
      <c r="T113" s="4"/>
      <c r="U113" s="4"/>
      <c r="V113" s="4"/>
      <c r="W113" s="34" t="str">
        <f t="shared" ref="W113" si="261">IF(AA113&gt;500,"LV",IF(Y113&gt;500,"Flat","Luma"))</f>
        <v>Luma</v>
      </c>
      <c r="X113" s="34"/>
      <c r="Y113" s="49"/>
      <c r="Z113" s="34">
        <f>X113*Y113/1000</f>
        <v>0</v>
      </c>
      <c r="AA113" s="34">
        <f>IF(AE113&gt;AD113,AR113,0)</f>
        <v>0</v>
      </c>
      <c r="AB113" s="39"/>
      <c r="AC113" s="39"/>
      <c r="AD113" s="39"/>
      <c r="AE113" s="46">
        <f>((AG113-(AH113*10))/10)*_xlfn.XLOOKUP(AI113,$R$2:$AJ$2,$R$3:$AJ$3)+(1-((AG113-(AH113*10))/10))*_xlfn.XLOOKUP(AH113,$R$2:$AJ$2,$R$3:$AJ$3)</f>
        <v>0</v>
      </c>
      <c r="AF113" s="31">
        <f>ROUND(AE113*Z113/1000+AD113*(1-Z113/1000),0)</f>
        <v>0</v>
      </c>
      <c r="AG113" s="34"/>
      <c r="AH113" s="31">
        <f>ROUNDDOWN(AG113/10,0)</f>
        <v>0</v>
      </c>
      <c r="AI113" s="31">
        <f>AH113+1</f>
        <v>1</v>
      </c>
      <c r="AJ113" s="34"/>
      <c r="AK113" s="31">
        <f>IF(AJ113&lt;0,0,IF(AJ113&gt;1000,10,ROUNDDOWN(AJ113/100,0)))</f>
        <v>0</v>
      </c>
      <c r="AL113" s="31">
        <f>IF(AJ113&lt;0,1,IF(AJ113&gt;1000,10,AK113+1))</f>
        <v>1</v>
      </c>
      <c r="AM113" s="34" t="e">
        <f>IF(AJ113&lt;0,INT(AS113+((AT113-AS113)*(AG113-AH113*10)/(AI113*10-AH113*10))),IF(AJ113&gt;1000,(AU113+((AV113-AU113)*(AG113-AH113*10)/(AI113*10-AH113*10))),BA113))</f>
        <v>#VALUE!</v>
      </c>
      <c r="AN113" s="31" t="e">
        <f>IF(AJ113&lt;0,INT(AW113+((AX113-AW113)*(AG113-AH113*10)/(AI113*10-AH113*10))),IF(AJ113&gt;1000,(AY113+((AZ113-AY113)*(AG113-AH113*10)/(AI113*10-AH113*10))),BB113))</f>
        <v>#VALUE!</v>
      </c>
      <c r="AO113" s="31"/>
      <c r="AP113" s="31"/>
      <c r="AR113" s="28"/>
      <c r="AS113" s="28" t="e">
        <f>HLOOKUP(AH113,$AQ$6:$BJ$17,AK113+2,FALSE)</f>
        <v>#VALUE!</v>
      </c>
      <c r="AT113" s="28" t="e">
        <f>HLOOKUP(AI113,$AQ$6:$BJ$17,AK113+2,FALSE)</f>
        <v>#VALUE!</v>
      </c>
      <c r="AU113" s="28" t="e">
        <f>HLOOKUP(AH113,$AQ$6:$BJ$17,AL113+2,FALSE)</f>
        <v>#VALUE!</v>
      </c>
      <c r="AV113" s="28" t="e">
        <f>VLOOKUP(AL113,$AQ$6:$BJ$17,AI113+2,FALSE)</f>
        <v>#VALUE!</v>
      </c>
      <c r="AW113" s="28" t="e">
        <f>HLOOKUP(AH113,$BK$6:$CD$17,AK113+2,FALSE)</f>
        <v>#VALUE!</v>
      </c>
      <c r="AX113" s="28" t="e">
        <f>HLOOKUP(AI113,$BK$6:$CD$17,AK113+2,FALSE)</f>
        <v>#VALUE!</v>
      </c>
      <c r="AY113" s="28" t="e">
        <f>HLOOKUP(AH113,$BK$6:$CD$17,AL113+2,FALSE)</f>
        <v>#VALUE!</v>
      </c>
      <c r="AZ113" s="28" t="e">
        <f>HLOOKUP(AI113,$BK$6:$CD$17,AL113+2,FALSE)</f>
        <v>#VALUE!</v>
      </c>
      <c r="BA113" s="28" t="e">
        <f>INT((AS113+((AT113-AS113)*(AG113-AH113*10)/(AI113*10-AH113*10)))+(((AU113+((AV113-AU113)*(AG113-AH113*10)/(AJ113*10-AH113*10)))-(AS113+((AT113-AS113)*(AG113-AH113*10)/(AI113*10-AH113*10))))*(AJ113-AK113*100)/(AL113*100-AK113*100)))</f>
        <v>#VALUE!</v>
      </c>
      <c r="BB113" s="28" t="e">
        <f>INT((AW113+((AX113-AW113)*(AG113-AH113*10)/(AI113*10-AH113*10)))+(((AY113+((AZ113-AY113)*(AG113-AH113*10)/(AJ113*10-AH113*10)))-(AW113+((AX113-AW113)*(AG113-AH113*10)/(AI113*10-AH113*10))))*(AJ113-AK113*100)/(AL113*100-AK113*100)))</f>
        <v>#VALUE!</v>
      </c>
      <c r="BC113" s="28">
        <f>IF(AG113-50&lt;$D$15,$D$15,AG113-50)</f>
        <v>0</v>
      </c>
      <c r="BD113" s="28" t="e">
        <f>_xlfn.XLOOKUP(BC113,$D$15:$H$15,$D$15:$H$15,,-1)</f>
        <v>#N/A</v>
      </c>
      <c r="BE113" s="28">
        <f>_xlfn.XLOOKUP(BC113,$D$15:$H$15,$D$15:$H$15,,1)</f>
        <v>0</v>
      </c>
      <c r="BF113" s="28" t="e">
        <f>_xlfn.XLOOKUP(BC113,$D$15:$H$15,$D$16:$H$16,,-1)</f>
        <v>#N/A</v>
      </c>
      <c r="BG113" s="28">
        <f>_xlfn.XLOOKUP(BC113,$D$15:$H$15,$D$16:$H$16,,1)</f>
        <v>0</v>
      </c>
      <c r="BH113" s="28" t="e">
        <f>_xlfn.XLOOKUP(BC113,$D$15:$H$15,$D$17:$H$17,,-1)</f>
        <v>#N/A</v>
      </c>
      <c r="BI113" s="28">
        <f>_xlfn.XLOOKUP(BC113,$D$15:$H$15,$D$17:$H$17,,1)</f>
        <v>0</v>
      </c>
      <c r="BJ113" s="28" t="e">
        <f>IF(BD113=BE113,BF113,(((BC113-BD113)/(BE113-BD113))*BG113+(1-((BC113-BD113)/(BE113-BD113)))*BF113))</f>
        <v>#N/A</v>
      </c>
      <c r="BK113" s="28" t="e">
        <f>IF(BD113=BE113,BH113,(((BC113-BD113)/(BE113-BD113))*BI113+(1-((BC113-BD113)/(BE113-BD113)))*BH113))</f>
        <v>#N/A</v>
      </c>
    </row>
    <row r="114" spans="2:63" s="3" customFormat="1" ht="24.95" customHeight="1" x14ac:dyDescent="0.25">
      <c r="B114" s="30"/>
      <c r="C114" s="30"/>
      <c r="D114" s="29"/>
      <c r="E114" s="30"/>
      <c r="F114" s="30"/>
      <c r="G114" s="29"/>
      <c r="H114" s="30"/>
      <c r="I114"/>
      <c r="J114" s="27">
        <f>B113+0.2</f>
        <v>0.2</v>
      </c>
      <c r="K114" s="30"/>
      <c r="L114" s="29"/>
      <c r="M114" s="30"/>
      <c r="N114" s="16" t="s">
        <v>34</v>
      </c>
      <c r="O114" s="4"/>
      <c r="P114" s="4"/>
      <c r="Q114" s="4"/>
      <c r="R114" s="4"/>
      <c r="S114" s="4"/>
      <c r="T114" s="4"/>
      <c r="U114" s="4"/>
      <c r="V114" s="4"/>
      <c r="W114" s="30"/>
      <c r="X114" s="34"/>
      <c r="Y114" s="49"/>
      <c r="Z114" s="34"/>
      <c r="AA114" s="34"/>
      <c r="AB114" s="40"/>
      <c r="AC114" s="40"/>
      <c r="AD114" s="40"/>
      <c r="AE114" s="47"/>
      <c r="AF114" s="43"/>
      <c r="AG114" s="30"/>
      <c r="AH114" s="43"/>
      <c r="AI114" s="43"/>
      <c r="AJ114" s="30"/>
      <c r="AK114" s="30"/>
      <c r="AL114" s="30"/>
      <c r="AM114" s="43"/>
      <c r="AN114" s="43"/>
      <c r="AO114" s="43"/>
      <c r="AP114" s="30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</row>
    <row r="115" spans="2:63" s="3" customFormat="1" ht="24.95" customHeight="1" x14ac:dyDescent="0.25">
      <c r="B115" s="30"/>
      <c r="C115" s="30"/>
      <c r="D115" s="29"/>
      <c r="E115" s="30"/>
      <c r="F115" s="30"/>
      <c r="G115" s="29"/>
      <c r="H115" s="30"/>
      <c r="I115"/>
      <c r="J115" s="27">
        <f>B113+0.3</f>
        <v>0.3</v>
      </c>
      <c r="K115" s="30"/>
      <c r="L115" s="29"/>
      <c r="M115" s="30"/>
      <c r="N115" s="16" t="s">
        <v>35</v>
      </c>
      <c r="O115" s="6">
        <f>O114-O113</f>
        <v>0</v>
      </c>
      <c r="P115" s="6">
        <f t="shared" ref="P115" si="262">P114-P113</f>
        <v>0</v>
      </c>
      <c r="Q115" s="6">
        <f t="shared" ref="Q115" si="263">Q114-Q113</f>
        <v>0</v>
      </c>
      <c r="R115" s="6">
        <f t="shared" ref="R115" si="264">R114-R113</f>
        <v>0</v>
      </c>
      <c r="S115" s="6">
        <f t="shared" ref="S115" si="265">S114-S113</f>
        <v>0</v>
      </c>
      <c r="T115" s="6">
        <f t="shared" ref="T115" si="266">T114-T113</f>
        <v>0</v>
      </c>
      <c r="U115" s="6">
        <f t="shared" ref="U115" si="267">U114-U113</f>
        <v>0</v>
      </c>
      <c r="V115" s="6">
        <f t="shared" ref="V115" si="268">V114-V113</f>
        <v>0</v>
      </c>
      <c r="W115" s="30"/>
      <c r="X115" s="34"/>
      <c r="Y115" s="49"/>
      <c r="Z115" s="34"/>
      <c r="AA115" s="34"/>
      <c r="AB115" s="40"/>
      <c r="AC115" s="40"/>
      <c r="AD115" s="40"/>
      <c r="AE115" s="47"/>
      <c r="AF115" s="43"/>
      <c r="AG115" s="30"/>
      <c r="AH115" s="43"/>
      <c r="AI115" s="43"/>
      <c r="AJ115" s="30"/>
      <c r="AK115" s="30"/>
      <c r="AL115" s="30"/>
      <c r="AM115" s="43"/>
      <c r="AN115" s="43"/>
      <c r="AO115" s="43"/>
      <c r="AP115" s="30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</row>
    <row r="116" spans="2:63" s="3" customFormat="1" ht="24.95" customHeight="1" x14ac:dyDescent="0.25">
      <c r="B116" s="30"/>
      <c r="C116" s="30"/>
      <c r="D116" s="29"/>
      <c r="E116" s="30"/>
      <c r="F116" s="30"/>
      <c r="G116" s="29"/>
      <c r="H116" s="30"/>
      <c r="I116"/>
      <c r="J116" s="27">
        <f>B113+0.4</f>
        <v>0.4</v>
      </c>
      <c r="K116" s="30"/>
      <c r="L116" s="29"/>
      <c r="M116" s="30"/>
      <c r="N116" s="16" t="s">
        <v>37</v>
      </c>
      <c r="O116" s="6"/>
      <c r="P116" s="6"/>
      <c r="Q116" s="6"/>
      <c r="R116" s="6"/>
      <c r="S116" s="6"/>
      <c r="T116" s="6"/>
      <c r="U116" s="6"/>
      <c r="V116" s="6"/>
      <c r="W116" s="30"/>
      <c r="X116" s="42">
        <f>1-Y116-AA116</f>
        <v>1</v>
      </c>
      <c r="Y116" s="42">
        <f>Y113/1000*(1-AA113/1000)</f>
        <v>0</v>
      </c>
      <c r="Z116" s="42">
        <f>X116+Y116</f>
        <v>1</v>
      </c>
      <c r="AA116" s="42">
        <f>AA113/1000</f>
        <v>0</v>
      </c>
      <c r="AB116" s="40"/>
      <c r="AC116" s="40"/>
      <c r="AD116" s="40"/>
      <c r="AE116" s="47"/>
      <c r="AF116" s="43"/>
      <c r="AG116" s="30"/>
      <c r="AH116" s="43"/>
      <c r="AI116" s="43"/>
      <c r="AJ116" s="30"/>
      <c r="AK116" s="30"/>
      <c r="AL116" s="30"/>
      <c r="AM116" s="43"/>
      <c r="AN116" s="43"/>
      <c r="AO116" s="43"/>
      <c r="AP116" s="30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</row>
    <row r="117" spans="2:63" s="3" customFormat="1" ht="24.95" customHeight="1" x14ac:dyDescent="0.25">
      <c r="B117" s="30"/>
      <c r="C117" s="30"/>
      <c r="D117" s="29"/>
      <c r="E117" s="30"/>
      <c r="F117" s="30"/>
      <c r="G117" s="29"/>
      <c r="H117" s="30"/>
      <c r="I117"/>
      <c r="J117" s="27">
        <f>B113+0.5</f>
        <v>0.5</v>
      </c>
      <c r="K117" s="30"/>
      <c r="L117" s="29"/>
      <c r="M117" s="30"/>
      <c r="N117" s="16" t="s">
        <v>36</v>
      </c>
      <c r="O117" s="6">
        <f>O116-O113</f>
        <v>0</v>
      </c>
      <c r="P117" s="6">
        <f t="shared" ref="P117" si="269">P116-P113</f>
        <v>0</v>
      </c>
      <c r="Q117" s="6">
        <f t="shared" ref="Q117" si="270">Q116-Q113</f>
        <v>0</v>
      </c>
      <c r="R117" s="6">
        <f t="shared" ref="R117" si="271">R116-R113</f>
        <v>0</v>
      </c>
      <c r="S117" s="6">
        <f t="shared" ref="S117" si="272">S116-S113</f>
        <v>0</v>
      </c>
      <c r="T117" s="6">
        <f t="shared" ref="T117" si="273">T116-T113</f>
        <v>0</v>
      </c>
      <c r="U117" s="6">
        <f t="shared" ref="U117" si="274">U116-U113</f>
        <v>0</v>
      </c>
      <c r="V117" s="6">
        <f t="shared" ref="V117" si="275">V116-V113</f>
        <v>0</v>
      </c>
      <c r="W117" s="30"/>
      <c r="X117" s="42"/>
      <c r="Y117" s="42"/>
      <c r="Z117" s="42"/>
      <c r="AA117" s="42"/>
      <c r="AB117" s="41"/>
      <c r="AC117" s="41"/>
      <c r="AD117" s="41"/>
      <c r="AE117" s="48"/>
      <c r="AF117" s="35"/>
      <c r="AG117" s="30"/>
      <c r="AH117" s="35"/>
      <c r="AI117" s="35"/>
      <c r="AJ117" s="30"/>
      <c r="AK117" s="30"/>
      <c r="AL117" s="30"/>
      <c r="AM117" s="35"/>
      <c r="AN117" s="35"/>
      <c r="AO117" s="35"/>
      <c r="AP117" s="30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</row>
    <row r="118" spans="2:63" s="3" customFormat="1" ht="24.95" customHeight="1" x14ac:dyDescent="0.25">
      <c r="B118" s="29"/>
      <c r="C118" s="29"/>
      <c r="D118" s="30"/>
      <c r="E118" s="30"/>
      <c r="F118" s="29"/>
      <c r="G118" s="30"/>
      <c r="H118" s="30"/>
      <c r="I118"/>
      <c r="J118" s="27">
        <f>B118+0.1</f>
        <v>0.1</v>
      </c>
      <c r="K118" s="44"/>
      <c r="L118" s="30"/>
      <c r="M118" s="30"/>
      <c r="N118" s="16" t="s">
        <v>33</v>
      </c>
      <c r="O118" s="4"/>
      <c r="P118" s="4"/>
      <c r="Q118" s="4"/>
      <c r="R118" s="4"/>
      <c r="S118" s="4"/>
      <c r="T118" s="4"/>
      <c r="U118" s="4"/>
      <c r="V118" s="4"/>
      <c r="W118" s="34" t="str">
        <f t="shared" ref="W118" si="276">IF(AA118&gt;500,"LV",IF(Y118&gt;500,"Flat","Luma"))</f>
        <v>Luma</v>
      </c>
      <c r="X118" s="34"/>
      <c r="Y118" s="49"/>
      <c r="Z118" s="34">
        <f>X118*Y118/1000</f>
        <v>0</v>
      </c>
      <c r="AA118" s="34">
        <f>IF(AE118&gt;AD118,AR118,0)</f>
        <v>0</v>
      </c>
      <c r="AB118" s="39"/>
      <c r="AC118" s="39"/>
      <c r="AD118" s="39"/>
      <c r="AE118" s="46">
        <f>((AG118-(AH118*10))/10)*_xlfn.XLOOKUP(AI118,$R$2:$AJ$2,$R$3:$AJ$3)+(1-((AG118-(AH118*10))/10))*_xlfn.XLOOKUP(AH118,$R$2:$AJ$2,$R$3:$AJ$3)</f>
        <v>0</v>
      </c>
      <c r="AF118" s="31">
        <f>ROUND(AE118*Z118/1000+AD118*(1-Z118/1000),0)</f>
        <v>0</v>
      </c>
      <c r="AG118" s="34"/>
      <c r="AH118" s="31">
        <f>ROUNDDOWN(AG118/10,0)</f>
        <v>0</v>
      </c>
      <c r="AI118" s="31">
        <f>AH118+1</f>
        <v>1</v>
      </c>
      <c r="AJ118" s="34"/>
      <c r="AK118" s="31">
        <f>IF(AJ118&lt;0,0,IF(AJ118&gt;1000,10,ROUNDDOWN(AJ118/100,0)))</f>
        <v>0</v>
      </c>
      <c r="AL118" s="31">
        <f>IF(AJ118&lt;0,1,IF(AJ118&gt;1000,10,AK118+1))</f>
        <v>1</v>
      </c>
      <c r="AM118" s="34" t="e">
        <f>IF(AJ118&lt;0,INT(AS118+((AT118-AS118)*(AG118-AH118*10)/(AI118*10-AH118*10))),IF(AJ118&gt;1000,(AU118+((AV118-AU118)*(AG118-AH118*10)/(AI118*10-AH118*10))),BA118))</f>
        <v>#VALUE!</v>
      </c>
      <c r="AN118" s="31" t="e">
        <f>IF(AJ118&lt;0,INT(AW118+((AX118-AW118)*(AG118-AH118*10)/(AI118*10-AH118*10))),IF(AJ118&gt;1000,(AY118+((AZ118-AY118)*(AG118-AH118*10)/(AI118*10-AH118*10))),BB118))</f>
        <v>#VALUE!</v>
      </c>
      <c r="AO118" s="31"/>
      <c r="AP118" s="31"/>
      <c r="AR118" s="28"/>
      <c r="AS118" s="28" t="e">
        <f>HLOOKUP(AH118,$AQ$6:$BJ$17,AK118+2,FALSE)</f>
        <v>#VALUE!</v>
      </c>
      <c r="AT118" s="28" t="e">
        <f>HLOOKUP(AI118,$AQ$6:$BJ$17,AK118+2,FALSE)</f>
        <v>#VALUE!</v>
      </c>
      <c r="AU118" s="28" t="e">
        <f>HLOOKUP(AH118,$AQ$6:$BJ$17,AL118+2,FALSE)</f>
        <v>#VALUE!</v>
      </c>
      <c r="AV118" s="28" t="e">
        <f>VLOOKUP(AL118,$AQ$6:$BJ$17,AI118+2,FALSE)</f>
        <v>#VALUE!</v>
      </c>
      <c r="AW118" s="28" t="e">
        <f>HLOOKUP(AH118,$BK$6:$CD$17,AK118+2,FALSE)</f>
        <v>#VALUE!</v>
      </c>
      <c r="AX118" s="28" t="e">
        <f>HLOOKUP(AI118,$BK$6:$CD$17,AK118+2,FALSE)</f>
        <v>#VALUE!</v>
      </c>
      <c r="AY118" s="28" t="e">
        <f>HLOOKUP(AH118,$BK$6:$CD$17,AL118+2,FALSE)</f>
        <v>#VALUE!</v>
      </c>
      <c r="AZ118" s="28" t="e">
        <f>HLOOKUP(AI118,$BK$6:$CD$17,AL118+2,FALSE)</f>
        <v>#VALUE!</v>
      </c>
      <c r="BA118" s="28" t="e">
        <f>INT((AS118+((AT118-AS118)*(AG118-AH118*10)/(AI118*10-AH118*10)))+(((AU118+((AV118-AU118)*(AG118-AH118*10)/(AJ118*10-AH118*10)))-(AS118+((AT118-AS118)*(AG118-AH118*10)/(AI118*10-AH118*10))))*(AJ118-AK118*100)/(AL118*100-AK118*100)))</f>
        <v>#VALUE!</v>
      </c>
      <c r="BB118" s="28" t="e">
        <f>INT((AW118+((AX118-AW118)*(AG118-AH118*10)/(AI118*10-AH118*10)))+(((AY118+((AZ118-AY118)*(AG118-AH118*10)/(AJ118*10-AH118*10)))-(AW118+((AX118-AW118)*(AG118-AH118*10)/(AI118*10-AH118*10))))*(AJ118-AK118*100)/(AL118*100-AK118*100)))</f>
        <v>#VALUE!</v>
      </c>
      <c r="BC118" s="28">
        <f>IF(AG118-50&lt;$D$15,$D$15,AG118-50)</f>
        <v>0</v>
      </c>
      <c r="BD118" s="28" t="e">
        <f>_xlfn.XLOOKUP(BC118,$D$15:$H$15,$D$15:$H$15,,-1)</f>
        <v>#N/A</v>
      </c>
      <c r="BE118" s="28">
        <f>_xlfn.XLOOKUP(BC118,$D$15:$H$15,$D$15:$H$15,,1)</f>
        <v>0</v>
      </c>
      <c r="BF118" s="28" t="e">
        <f>_xlfn.XLOOKUP(BC118,$D$15:$H$15,$D$16:$H$16,,-1)</f>
        <v>#N/A</v>
      </c>
      <c r="BG118" s="28">
        <f>_xlfn.XLOOKUP(BC118,$D$15:$H$15,$D$16:$H$16,,1)</f>
        <v>0</v>
      </c>
      <c r="BH118" s="28" t="e">
        <f>_xlfn.XLOOKUP(BC118,$D$15:$H$15,$D$17:$H$17,,-1)</f>
        <v>#N/A</v>
      </c>
      <c r="BI118" s="28">
        <f>_xlfn.XLOOKUP(BC118,$D$15:$H$15,$D$17:$H$17,,1)</f>
        <v>0</v>
      </c>
      <c r="BJ118" s="28" t="e">
        <f>IF(BD118=BE118,BF118,(((BC118-BD118)/(BE118-BD118))*BG118+(1-((BC118-BD118)/(BE118-BD118)))*BF118))</f>
        <v>#N/A</v>
      </c>
      <c r="BK118" s="28" t="e">
        <f>IF(BD118=BE118,BH118,(((BC118-BD118)/(BE118-BD118))*BI118+(1-((BC118-BD118)/(BE118-BD118)))*BH118))</f>
        <v>#N/A</v>
      </c>
    </row>
    <row r="119" spans="2:63" s="3" customFormat="1" ht="24.95" customHeight="1" x14ac:dyDescent="0.25">
      <c r="B119" s="30"/>
      <c r="C119" s="30"/>
      <c r="D119" s="29"/>
      <c r="E119" s="30"/>
      <c r="F119" s="30"/>
      <c r="G119" s="29"/>
      <c r="H119" s="30"/>
      <c r="I119"/>
      <c r="J119" s="27">
        <f>B118+0.2</f>
        <v>0.2</v>
      </c>
      <c r="K119" s="30"/>
      <c r="L119" s="29"/>
      <c r="M119" s="30"/>
      <c r="N119" s="16" t="s">
        <v>34</v>
      </c>
      <c r="O119" s="4"/>
      <c r="P119" s="4"/>
      <c r="Q119" s="4"/>
      <c r="R119" s="4"/>
      <c r="S119" s="4"/>
      <c r="T119" s="4"/>
      <c r="U119" s="4"/>
      <c r="V119" s="4"/>
      <c r="W119" s="30"/>
      <c r="X119" s="34"/>
      <c r="Y119" s="49"/>
      <c r="Z119" s="34"/>
      <c r="AA119" s="34"/>
      <c r="AB119" s="40"/>
      <c r="AC119" s="40"/>
      <c r="AD119" s="40"/>
      <c r="AE119" s="47"/>
      <c r="AF119" s="43"/>
      <c r="AG119" s="30"/>
      <c r="AH119" s="43"/>
      <c r="AI119" s="43"/>
      <c r="AJ119" s="30"/>
      <c r="AK119" s="30"/>
      <c r="AL119" s="30"/>
      <c r="AM119" s="43"/>
      <c r="AN119" s="43"/>
      <c r="AO119" s="43"/>
      <c r="AP119" s="30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</row>
    <row r="120" spans="2:63" s="3" customFormat="1" ht="24.95" customHeight="1" x14ac:dyDescent="0.25">
      <c r="B120" s="30"/>
      <c r="C120" s="30"/>
      <c r="D120" s="29"/>
      <c r="E120" s="30"/>
      <c r="F120" s="30"/>
      <c r="G120" s="29"/>
      <c r="H120" s="30"/>
      <c r="I120"/>
      <c r="J120" s="27">
        <f>B118+0.3</f>
        <v>0.3</v>
      </c>
      <c r="K120" s="30"/>
      <c r="L120" s="29"/>
      <c r="M120" s="30"/>
      <c r="N120" s="16" t="s">
        <v>35</v>
      </c>
      <c r="O120" s="6">
        <f>O119-O118</f>
        <v>0</v>
      </c>
      <c r="P120" s="6">
        <f t="shared" ref="P120" si="277">P119-P118</f>
        <v>0</v>
      </c>
      <c r="Q120" s="6">
        <f t="shared" ref="Q120" si="278">Q119-Q118</f>
        <v>0</v>
      </c>
      <c r="R120" s="6">
        <f t="shared" ref="R120" si="279">R119-R118</f>
        <v>0</v>
      </c>
      <c r="S120" s="6">
        <f t="shared" ref="S120" si="280">S119-S118</f>
        <v>0</v>
      </c>
      <c r="T120" s="6">
        <f t="shared" ref="T120" si="281">T119-T118</f>
        <v>0</v>
      </c>
      <c r="U120" s="6">
        <f t="shared" ref="U120" si="282">U119-U118</f>
        <v>0</v>
      </c>
      <c r="V120" s="6">
        <f t="shared" ref="V120" si="283">V119-V118</f>
        <v>0</v>
      </c>
      <c r="W120" s="30"/>
      <c r="X120" s="34"/>
      <c r="Y120" s="49"/>
      <c r="Z120" s="34"/>
      <c r="AA120" s="34"/>
      <c r="AB120" s="40"/>
      <c r="AC120" s="40"/>
      <c r="AD120" s="40"/>
      <c r="AE120" s="47"/>
      <c r="AF120" s="43"/>
      <c r="AG120" s="30"/>
      <c r="AH120" s="43"/>
      <c r="AI120" s="43"/>
      <c r="AJ120" s="30"/>
      <c r="AK120" s="30"/>
      <c r="AL120" s="30"/>
      <c r="AM120" s="43"/>
      <c r="AN120" s="43"/>
      <c r="AO120" s="43"/>
      <c r="AP120" s="30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</row>
    <row r="121" spans="2:63" s="3" customFormat="1" ht="24.95" customHeight="1" x14ac:dyDescent="0.25">
      <c r="B121" s="30"/>
      <c r="C121" s="30"/>
      <c r="D121" s="29"/>
      <c r="E121" s="30"/>
      <c r="F121" s="30"/>
      <c r="G121" s="29"/>
      <c r="H121" s="30"/>
      <c r="I121"/>
      <c r="J121" s="27">
        <f>B118+0.4</f>
        <v>0.4</v>
      </c>
      <c r="K121" s="30"/>
      <c r="L121" s="29"/>
      <c r="M121" s="30"/>
      <c r="N121" s="16" t="s">
        <v>37</v>
      </c>
      <c r="O121" s="6"/>
      <c r="P121" s="6"/>
      <c r="Q121" s="6"/>
      <c r="R121" s="6"/>
      <c r="S121" s="6"/>
      <c r="T121" s="6"/>
      <c r="U121" s="6"/>
      <c r="V121" s="6"/>
      <c r="W121" s="30"/>
      <c r="X121" s="42">
        <f>1-Y121-AA121</f>
        <v>1</v>
      </c>
      <c r="Y121" s="42">
        <f>Y118/1000*(1-AA118/1000)</f>
        <v>0</v>
      </c>
      <c r="Z121" s="42">
        <f>X121+Y121</f>
        <v>1</v>
      </c>
      <c r="AA121" s="42">
        <f>AA118/1000</f>
        <v>0</v>
      </c>
      <c r="AB121" s="40"/>
      <c r="AC121" s="40"/>
      <c r="AD121" s="40"/>
      <c r="AE121" s="47"/>
      <c r="AF121" s="43"/>
      <c r="AG121" s="30"/>
      <c r="AH121" s="43"/>
      <c r="AI121" s="43"/>
      <c r="AJ121" s="30"/>
      <c r="AK121" s="30"/>
      <c r="AL121" s="30"/>
      <c r="AM121" s="43"/>
      <c r="AN121" s="43"/>
      <c r="AO121" s="43"/>
      <c r="AP121" s="30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</row>
    <row r="122" spans="2:63" s="3" customFormat="1" ht="24.95" customHeight="1" x14ac:dyDescent="0.25">
      <c r="B122" s="30"/>
      <c r="C122" s="30"/>
      <c r="D122" s="29"/>
      <c r="E122" s="30"/>
      <c r="F122" s="30"/>
      <c r="G122" s="29"/>
      <c r="H122" s="30"/>
      <c r="I122"/>
      <c r="J122" s="27">
        <f>B118+0.5</f>
        <v>0.5</v>
      </c>
      <c r="K122" s="30"/>
      <c r="L122" s="29"/>
      <c r="M122" s="30"/>
      <c r="N122" s="16" t="s">
        <v>36</v>
      </c>
      <c r="O122" s="6">
        <f>O121-O118</f>
        <v>0</v>
      </c>
      <c r="P122" s="6">
        <f t="shared" ref="P122" si="284">P121-P118</f>
        <v>0</v>
      </c>
      <c r="Q122" s="6">
        <f t="shared" ref="Q122" si="285">Q121-Q118</f>
        <v>0</v>
      </c>
      <c r="R122" s="6">
        <f t="shared" ref="R122" si="286">R121-R118</f>
        <v>0</v>
      </c>
      <c r="S122" s="6">
        <f t="shared" ref="S122" si="287">S121-S118</f>
        <v>0</v>
      </c>
      <c r="T122" s="6">
        <f t="shared" ref="T122" si="288">T121-T118</f>
        <v>0</v>
      </c>
      <c r="U122" s="6">
        <f t="shared" ref="U122" si="289">U121-U118</f>
        <v>0</v>
      </c>
      <c r="V122" s="6">
        <f t="shared" ref="V122" si="290">V121-V118</f>
        <v>0</v>
      </c>
      <c r="W122" s="30"/>
      <c r="X122" s="42"/>
      <c r="Y122" s="42"/>
      <c r="Z122" s="42"/>
      <c r="AA122" s="42"/>
      <c r="AB122" s="41"/>
      <c r="AC122" s="41"/>
      <c r="AD122" s="41"/>
      <c r="AE122" s="48"/>
      <c r="AF122" s="35"/>
      <c r="AG122" s="30"/>
      <c r="AH122" s="35"/>
      <c r="AI122" s="35"/>
      <c r="AJ122" s="30"/>
      <c r="AK122" s="30"/>
      <c r="AL122" s="30"/>
      <c r="AM122" s="35"/>
      <c r="AN122" s="35"/>
      <c r="AO122" s="35"/>
      <c r="AP122" s="30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</row>
  </sheetData>
  <mergeCells count="990">
    <mergeCell ref="BK118:BK122"/>
    <mergeCell ref="X121:X122"/>
    <mergeCell ref="Y121:Y122"/>
    <mergeCell ref="Z121:Z122"/>
    <mergeCell ref="AA121:AA122"/>
    <mergeCell ref="Y108:Y110"/>
    <mergeCell ref="Z108:Z110"/>
    <mergeCell ref="AA108:AA110"/>
    <mergeCell ref="BK108:BK112"/>
    <mergeCell ref="X111:X112"/>
    <mergeCell ref="Y111:Y112"/>
    <mergeCell ref="Z111:Z112"/>
    <mergeCell ref="AA111:AA112"/>
    <mergeCell ref="X113:X115"/>
    <mergeCell ref="Y113:Y115"/>
    <mergeCell ref="Z113:Z115"/>
    <mergeCell ref="AA113:AA115"/>
    <mergeCell ref="BK113:BK117"/>
    <mergeCell ref="X116:X117"/>
    <mergeCell ref="Y116:Y117"/>
    <mergeCell ref="Z116:Z117"/>
    <mergeCell ref="AA116:AA117"/>
    <mergeCell ref="BG113:BG117"/>
    <mergeCell ref="BH113:BH117"/>
    <mergeCell ref="BK98:BK102"/>
    <mergeCell ref="X101:X102"/>
    <mergeCell ref="Y101:Y102"/>
    <mergeCell ref="Z101:Z102"/>
    <mergeCell ref="AA101:AA102"/>
    <mergeCell ref="X103:X105"/>
    <mergeCell ref="Y103:Y105"/>
    <mergeCell ref="Z103:Z105"/>
    <mergeCell ref="AA103:AA105"/>
    <mergeCell ref="BK103:BK107"/>
    <mergeCell ref="X106:X107"/>
    <mergeCell ref="Y106:Y107"/>
    <mergeCell ref="Z106:Z107"/>
    <mergeCell ref="AA106:AA107"/>
    <mergeCell ref="AO103:AO107"/>
    <mergeCell ref="Y98:Y100"/>
    <mergeCell ref="Z98:Z100"/>
    <mergeCell ref="AA98:AA100"/>
    <mergeCell ref="X98:X100"/>
    <mergeCell ref="AR98:AR102"/>
    <mergeCell ref="AS98:AS102"/>
    <mergeCell ref="AT98:AT102"/>
    <mergeCell ref="AU98:AU102"/>
    <mergeCell ref="AV98:AV102"/>
    <mergeCell ref="BK88:BK92"/>
    <mergeCell ref="X91:X92"/>
    <mergeCell ref="Y91:Y92"/>
    <mergeCell ref="Z91:Z92"/>
    <mergeCell ref="AA91:AA92"/>
    <mergeCell ref="X93:X95"/>
    <mergeCell ref="Y93:Y95"/>
    <mergeCell ref="Z93:Z95"/>
    <mergeCell ref="AA93:AA95"/>
    <mergeCell ref="BK93:BK97"/>
    <mergeCell ref="X96:X97"/>
    <mergeCell ref="Y96:Y97"/>
    <mergeCell ref="Z96:Z97"/>
    <mergeCell ref="AA96:AA97"/>
    <mergeCell ref="BG88:BG92"/>
    <mergeCell ref="BH88:BH92"/>
    <mergeCell ref="BI88:BI92"/>
    <mergeCell ref="BJ88:BJ92"/>
    <mergeCell ref="BG93:BG97"/>
    <mergeCell ref="BH93:BH97"/>
    <mergeCell ref="BI93:BI97"/>
    <mergeCell ref="BJ93:BJ97"/>
    <mergeCell ref="BC93:BC97"/>
    <mergeCell ref="BD93:BD97"/>
    <mergeCell ref="AA83:AA85"/>
    <mergeCell ref="BK83:BK87"/>
    <mergeCell ref="X86:X87"/>
    <mergeCell ref="Y86:Y87"/>
    <mergeCell ref="Z86:Z87"/>
    <mergeCell ref="AA86:AA87"/>
    <mergeCell ref="BG83:BG87"/>
    <mergeCell ref="BH83:BH87"/>
    <mergeCell ref="BI83:BI87"/>
    <mergeCell ref="BJ83:BJ87"/>
    <mergeCell ref="AR83:AR87"/>
    <mergeCell ref="AS83:AS87"/>
    <mergeCell ref="AT83:AT87"/>
    <mergeCell ref="AU83:AU87"/>
    <mergeCell ref="AV83:AV87"/>
    <mergeCell ref="AW83:AW87"/>
    <mergeCell ref="AX83:AX87"/>
    <mergeCell ref="AY83:AY87"/>
    <mergeCell ref="X78:X80"/>
    <mergeCell ref="Y78:Y80"/>
    <mergeCell ref="Z78:Z80"/>
    <mergeCell ref="AA78:AA80"/>
    <mergeCell ref="BK78:BK82"/>
    <mergeCell ref="X81:X82"/>
    <mergeCell ref="Y81:Y82"/>
    <mergeCell ref="Z81:Z82"/>
    <mergeCell ref="AA81:AA82"/>
    <mergeCell ref="BG78:BG82"/>
    <mergeCell ref="BH78:BH82"/>
    <mergeCell ref="BI78:BI82"/>
    <mergeCell ref="BJ78:BJ82"/>
    <mergeCell ref="BC78:BC82"/>
    <mergeCell ref="BD78:BD82"/>
    <mergeCell ref="AR78:AR82"/>
    <mergeCell ref="AS78:AS82"/>
    <mergeCell ref="AT78:AT82"/>
    <mergeCell ref="AU78:AU82"/>
    <mergeCell ref="AV78:AV82"/>
    <mergeCell ref="AW78:AW82"/>
    <mergeCell ref="AX78:AX82"/>
    <mergeCell ref="AY78:AY82"/>
    <mergeCell ref="BI73:BI77"/>
    <mergeCell ref="BJ73:BJ77"/>
    <mergeCell ref="AN73:AN77"/>
    <mergeCell ref="AO73:AO77"/>
    <mergeCell ref="AP73:AP77"/>
    <mergeCell ref="AR73:AR77"/>
    <mergeCell ref="AS73:AS77"/>
    <mergeCell ref="AT73:AT77"/>
    <mergeCell ref="AU73:AU77"/>
    <mergeCell ref="AV73:AV77"/>
    <mergeCell ref="AW73:AW77"/>
    <mergeCell ref="AX73:AX77"/>
    <mergeCell ref="AY73:AY77"/>
    <mergeCell ref="X61:X62"/>
    <mergeCell ref="Y61:Y62"/>
    <mergeCell ref="Z61:Z62"/>
    <mergeCell ref="AA61:AA62"/>
    <mergeCell ref="X63:X65"/>
    <mergeCell ref="Y63:Y65"/>
    <mergeCell ref="Z63:Z65"/>
    <mergeCell ref="AA63:AA65"/>
    <mergeCell ref="BK63:BK67"/>
    <mergeCell ref="X66:X67"/>
    <mergeCell ref="Y66:Y67"/>
    <mergeCell ref="Z66:Z67"/>
    <mergeCell ref="AA66:AA67"/>
    <mergeCell ref="BG58:BG62"/>
    <mergeCell ref="BH58:BH62"/>
    <mergeCell ref="BI58:BI62"/>
    <mergeCell ref="BJ58:BJ62"/>
    <mergeCell ref="BG63:BG67"/>
    <mergeCell ref="BH63:BH67"/>
    <mergeCell ref="BI63:BI67"/>
    <mergeCell ref="BJ63:BJ67"/>
    <mergeCell ref="BE63:BE67"/>
    <mergeCell ref="BF63:BF67"/>
    <mergeCell ref="BD58:BD62"/>
    <mergeCell ref="X48:X50"/>
    <mergeCell ref="Y48:Y50"/>
    <mergeCell ref="BK53:BK57"/>
    <mergeCell ref="X56:X57"/>
    <mergeCell ref="Y56:Y57"/>
    <mergeCell ref="Z56:Z57"/>
    <mergeCell ref="AA56:AA57"/>
    <mergeCell ref="BG53:BG57"/>
    <mergeCell ref="BH53:BH57"/>
    <mergeCell ref="BI53:BI57"/>
    <mergeCell ref="BJ53:BJ57"/>
    <mergeCell ref="BC53:BC57"/>
    <mergeCell ref="BD53:BD57"/>
    <mergeCell ref="BE53:BE57"/>
    <mergeCell ref="BF53:BF57"/>
    <mergeCell ref="AC53:AC57"/>
    <mergeCell ref="AD53:AD57"/>
    <mergeCell ref="AR53:AR57"/>
    <mergeCell ref="AS53:AS57"/>
    <mergeCell ref="AT53:AT57"/>
    <mergeCell ref="AU53:AU57"/>
    <mergeCell ref="AV53:AV57"/>
    <mergeCell ref="AB53:AB57"/>
    <mergeCell ref="AK53:AK57"/>
    <mergeCell ref="BH48:BH52"/>
    <mergeCell ref="BI48:BI52"/>
    <mergeCell ref="BJ48:BJ52"/>
    <mergeCell ref="BF48:BF52"/>
    <mergeCell ref="BC48:BC52"/>
    <mergeCell ref="BD48:BD52"/>
    <mergeCell ref="BE48:BE52"/>
    <mergeCell ref="AB48:AB52"/>
    <mergeCell ref="AC48:AC52"/>
    <mergeCell ref="AI48:AI52"/>
    <mergeCell ref="AJ48:AJ52"/>
    <mergeCell ref="AK48:AK52"/>
    <mergeCell ref="AL48:AL52"/>
    <mergeCell ref="AM48:AM52"/>
    <mergeCell ref="AH48:AH52"/>
    <mergeCell ref="AD48:AD52"/>
    <mergeCell ref="X43:X45"/>
    <mergeCell ref="Y43:Y45"/>
    <mergeCell ref="Z43:Z45"/>
    <mergeCell ref="AA43:AA45"/>
    <mergeCell ref="BK43:BK47"/>
    <mergeCell ref="X46:X47"/>
    <mergeCell ref="Y46:Y47"/>
    <mergeCell ref="Z46:Z47"/>
    <mergeCell ref="AA46:AA47"/>
    <mergeCell ref="BG43:BG47"/>
    <mergeCell ref="BH43:BH47"/>
    <mergeCell ref="BI43:BI47"/>
    <mergeCell ref="BJ43:BJ47"/>
    <mergeCell ref="BF43:BF47"/>
    <mergeCell ref="AG43:AG47"/>
    <mergeCell ref="AH43:AH47"/>
    <mergeCell ref="AI43:AI47"/>
    <mergeCell ref="AJ43:AJ47"/>
    <mergeCell ref="AK43:AK47"/>
    <mergeCell ref="AL43:AL47"/>
    <mergeCell ref="BC43:BC47"/>
    <mergeCell ref="BD43:BD47"/>
    <mergeCell ref="BE43:BE47"/>
    <mergeCell ref="AE43:AE47"/>
    <mergeCell ref="AA38:AA40"/>
    <mergeCell ref="BK38:BK42"/>
    <mergeCell ref="X41:X42"/>
    <mergeCell ref="Y41:Y42"/>
    <mergeCell ref="Z41:Z42"/>
    <mergeCell ref="AA41:AA42"/>
    <mergeCell ref="BG38:BG42"/>
    <mergeCell ref="BH38:BH42"/>
    <mergeCell ref="BI38:BI42"/>
    <mergeCell ref="BJ38:BJ42"/>
    <mergeCell ref="AJ38:AJ42"/>
    <mergeCell ref="AK38:AK42"/>
    <mergeCell ref="AL38:AL42"/>
    <mergeCell ref="AM38:AM42"/>
    <mergeCell ref="AI38:AI42"/>
    <mergeCell ref="BC38:BC42"/>
    <mergeCell ref="BD38:BD42"/>
    <mergeCell ref="BE38:BE42"/>
    <mergeCell ref="BF38:BF42"/>
    <mergeCell ref="BI118:BI122"/>
    <mergeCell ref="BJ118:BJ122"/>
    <mergeCell ref="BG98:BG102"/>
    <mergeCell ref="BH98:BH102"/>
    <mergeCell ref="BI98:BI102"/>
    <mergeCell ref="BJ98:BJ102"/>
    <mergeCell ref="BG103:BG107"/>
    <mergeCell ref="BH103:BH107"/>
    <mergeCell ref="BI103:BI107"/>
    <mergeCell ref="BJ103:BJ107"/>
    <mergeCell ref="BG108:BG112"/>
    <mergeCell ref="BH108:BH112"/>
    <mergeCell ref="BI108:BI112"/>
    <mergeCell ref="BJ108:BJ112"/>
    <mergeCell ref="BK48:BK52"/>
    <mergeCell ref="BC63:BC67"/>
    <mergeCell ref="BD63:BD67"/>
    <mergeCell ref="BK68:BK72"/>
    <mergeCell ref="BG68:BG72"/>
    <mergeCell ref="BH68:BH72"/>
    <mergeCell ref="AJ33:AJ37"/>
    <mergeCell ref="AK33:AK37"/>
    <mergeCell ref="BI113:BI117"/>
    <mergeCell ref="BJ113:BJ117"/>
    <mergeCell ref="BC108:BC112"/>
    <mergeCell ref="AL33:AL37"/>
    <mergeCell ref="AM33:AM37"/>
    <mergeCell ref="AM43:AM47"/>
    <mergeCell ref="AL53:AL57"/>
    <mergeCell ref="AM53:AM57"/>
    <mergeCell ref="BK58:BK62"/>
    <mergeCell ref="BI68:BI72"/>
    <mergeCell ref="BJ68:BJ72"/>
    <mergeCell ref="AP68:AP72"/>
    <mergeCell ref="AM68:AM72"/>
    <mergeCell ref="AN68:AN72"/>
    <mergeCell ref="AO68:AO72"/>
    <mergeCell ref="BK73:BK77"/>
    <mergeCell ref="BI23:BI27"/>
    <mergeCell ref="BJ23:BJ27"/>
    <mergeCell ref="BK23:BK27"/>
    <mergeCell ref="BG28:BG32"/>
    <mergeCell ref="BH28:BH32"/>
    <mergeCell ref="BI28:BI32"/>
    <mergeCell ref="BJ28:BJ32"/>
    <mergeCell ref="BG33:BG37"/>
    <mergeCell ref="BH33:BH37"/>
    <mergeCell ref="BI33:BI37"/>
    <mergeCell ref="BJ33:BJ37"/>
    <mergeCell ref="BK28:BK32"/>
    <mergeCell ref="BK33:BK37"/>
    <mergeCell ref="BD113:BD117"/>
    <mergeCell ref="BE113:BE117"/>
    <mergeCell ref="BF113:BF117"/>
    <mergeCell ref="BC118:BC122"/>
    <mergeCell ref="BD118:BD122"/>
    <mergeCell ref="BE118:BE122"/>
    <mergeCell ref="BF118:BF122"/>
    <mergeCell ref="BH23:BH27"/>
    <mergeCell ref="BG118:BG122"/>
    <mergeCell ref="BH118:BH122"/>
    <mergeCell ref="BG73:BG77"/>
    <mergeCell ref="BH73:BH77"/>
    <mergeCell ref="BC98:BC102"/>
    <mergeCell ref="BD98:BD102"/>
    <mergeCell ref="BE98:BE102"/>
    <mergeCell ref="BF98:BF102"/>
    <mergeCell ref="BC103:BC107"/>
    <mergeCell ref="BD103:BD107"/>
    <mergeCell ref="BE103:BE107"/>
    <mergeCell ref="BF103:BF107"/>
    <mergeCell ref="BD108:BD112"/>
    <mergeCell ref="BE108:BE112"/>
    <mergeCell ref="BF108:BF112"/>
    <mergeCell ref="BG48:BG52"/>
    <mergeCell ref="BD23:BD27"/>
    <mergeCell ref="BE23:BE27"/>
    <mergeCell ref="BF23:BF27"/>
    <mergeCell ref="BG23:BG27"/>
    <mergeCell ref="BC28:BC32"/>
    <mergeCell ref="BD28:BD32"/>
    <mergeCell ref="BE28:BE32"/>
    <mergeCell ref="BF28:BF32"/>
    <mergeCell ref="BC33:BC37"/>
    <mergeCell ref="BD33:BD37"/>
    <mergeCell ref="BE33:BE37"/>
    <mergeCell ref="BF33:BF37"/>
    <mergeCell ref="BE58:BE62"/>
    <mergeCell ref="BF58:BF62"/>
    <mergeCell ref="BB118:BB122"/>
    <mergeCell ref="BC68:BC72"/>
    <mergeCell ref="BD68:BD72"/>
    <mergeCell ref="BE68:BE72"/>
    <mergeCell ref="BF68:BF72"/>
    <mergeCell ref="BC73:BC77"/>
    <mergeCell ref="BD73:BD77"/>
    <mergeCell ref="BE73:BE77"/>
    <mergeCell ref="BF73:BF77"/>
    <mergeCell ref="BE78:BE82"/>
    <mergeCell ref="BF78:BF82"/>
    <mergeCell ref="BC83:BC87"/>
    <mergeCell ref="BD83:BD87"/>
    <mergeCell ref="BE83:BE87"/>
    <mergeCell ref="BF83:BF87"/>
    <mergeCell ref="BC88:BC92"/>
    <mergeCell ref="BD88:BD92"/>
    <mergeCell ref="BE88:BE92"/>
    <mergeCell ref="BF88:BF92"/>
    <mergeCell ref="BE93:BE97"/>
    <mergeCell ref="BF93:BF97"/>
    <mergeCell ref="BC113:BC117"/>
    <mergeCell ref="BA113:BA117"/>
    <mergeCell ref="AZ118:AZ122"/>
    <mergeCell ref="BA118:BA122"/>
    <mergeCell ref="BC23:BC27"/>
    <mergeCell ref="BB28:BB32"/>
    <mergeCell ref="BB33:BB37"/>
    <mergeCell ref="BB38:BB42"/>
    <mergeCell ref="BB43:BB47"/>
    <mergeCell ref="BB48:BB52"/>
    <mergeCell ref="BB53:BB57"/>
    <mergeCell ref="BB58:BB62"/>
    <mergeCell ref="BB63:BB67"/>
    <mergeCell ref="BB68:BB72"/>
    <mergeCell ref="BB73:BB77"/>
    <mergeCell ref="BB78:BB82"/>
    <mergeCell ref="BB83:BB87"/>
    <mergeCell ref="BB88:BB92"/>
    <mergeCell ref="BB93:BB97"/>
    <mergeCell ref="BB98:BB102"/>
    <mergeCell ref="BB103:BB107"/>
    <mergeCell ref="BB108:BB112"/>
    <mergeCell ref="BB113:BB117"/>
    <mergeCell ref="AZ88:AZ92"/>
    <mergeCell ref="BC58:BC62"/>
    <mergeCell ref="BB23:BB27"/>
    <mergeCell ref="AZ58:AZ62"/>
    <mergeCell ref="BA58:BA62"/>
    <mergeCell ref="AZ53:AZ57"/>
    <mergeCell ref="BA53:BA57"/>
    <mergeCell ref="AZ48:AZ52"/>
    <mergeCell ref="BA48:BA52"/>
    <mergeCell ref="AZ43:AZ47"/>
    <mergeCell ref="BA43:BA47"/>
    <mergeCell ref="AZ38:AZ42"/>
    <mergeCell ref="BA38:BA42"/>
    <mergeCell ref="AZ33:AZ37"/>
    <mergeCell ref="BA33:BA37"/>
    <mergeCell ref="AZ28:AZ32"/>
    <mergeCell ref="BA28:BA32"/>
    <mergeCell ref="AB118:AB122"/>
    <mergeCell ref="AC118:AC122"/>
    <mergeCell ref="AD118:AD122"/>
    <mergeCell ref="BA23:BA27"/>
    <mergeCell ref="AZ63:AZ67"/>
    <mergeCell ref="BA63:BA67"/>
    <mergeCell ref="AZ68:AZ72"/>
    <mergeCell ref="BA68:BA72"/>
    <mergeCell ref="AZ73:AZ77"/>
    <mergeCell ref="BA73:BA77"/>
    <mergeCell ref="AZ78:AZ82"/>
    <mergeCell ref="BA78:BA82"/>
    <mergeCell ref="AZ83:AZ87"/>
    <mergeCell ref="BA83:BA87"/>
    <mergeCell ref="BA88:BA92"/>
    <mergeCell ref="AZ93:AZ97"/>
    <mergeCell ref="BA93:BA97"/>
    <mergeCell ref="AZ98:AZ102"/>
    <mergeCell ref="BA98:BA102"/>
    <mergeCell ref="AZ103:AZ107"/>
    <mergeCell ref="BA103:BA107"/>
    <mergeCell ref="AZ108:AZ112"/>
    <mergeCell ref="BA108:BA112"/>
    <mergeCell ref="AZ113:AZ117"/>
    <mergeCell ref="AE88:AE92"/>
    <mergeCell ref="AF88:AF92"/>
    <mergeCell ref="AE58:AE62"/>
    <mergeCell ref="AF58:AF62"/>
    <mergeCell ref="AE108:AE112"/>
    <mergeCell ref="AF108:AF112"/>
    <mergeCell ref="AF113:AF117"/>
    <mergeCell ref="AE93:AE97"/>
    <mergeCell ref="AE98:AE102"/>
    <mergeCell ref="AP118:AP122"/>
    <mergeCell ref="AK113:AK117"/>
    <mergeCell ref="AL113:AL117"/>
    <mergeCell ref="AM113:AM117"/>
    <mergeCell ref="AN113:AN117"/>
    <mergeCell ref="AO113:AO117"/>
    <mergeCell ref="B118:B122"/>
    <mergeCell ref="C118:E122"/>
    <mergeCell ref="F118:H122"/>
    <mergeCell ref="K118:M122"/>
    <mergeCell ref="W118:W122"/>
    <mergeCell ref="X118:X120"/>
    <mergeCell ref="Y118:Y120"/>
    <mergeCell ref="Z118:Z120"/>
    <mergeCell ref="AA118:AA120"/>
    <mergeCell ref="AE118:AE122"/>
    <mergeCell ref="AG118:AG122"/>
    <mergeCell ref="AH118:AH122"/>
    <mergeCell ref="AI118:AI122"/>
    <mergeCell ref="AJ118:AJ122"/>
    <mergeCell ref="AK118:AK122"/>
    <mergeCell ref="AL118:AL122"/>
    <mergeCell ref="AM118:AM122"/>
    <mergeCell ref="AF118:AF122"/>
    <mergeCell ref="AN118:AN122"/>
    <mergeCell ref="AB58:AB62"/>
    <mergeCell ref="X71:X72"/>
    <mergeCell ref="AO118:AO122"/>
    <mergeCell ref="AK88:AK92"/>
    <mergeCell ref="AL88:AL92"/>
    <mergeCell ref="AM88:AM92"/>
    <mergeCell ref="B88:B92"/>
    <mergeCell ref="C88:E92"/>
    <mergeCell ref="F88:H92"/>
    <mergeCell ref="K88:M92"/>
    <mergeCell ref="W88:W92"/>
    <mergeCell ref="AC88:AC92"/>
    <mergeCell ref="AD88:AD92"/>
    <mergeCell ref="X88:X90"/>
    <mergeCell ref="Y88:Y90"/>
    <mergeCell ref="Z88:Z90"/>
    <mergeCell ref="AA88:AA90"/>
    <mergeCell ref="AB88:AB92"/>
    <mergeCell ref="AN108:AN112"/>
    <mergeCell ref="AN93:AN97"/>
    <mergeCell ref="AF98:AF102"/>
    <mergeCell ref="AN88:AN92"/>
    <mergeCell ref="AC108:AC112"/>
    <mergeCell ref="Y51:Y52"/>
    <mergeCell ref="AI58:AI62"/>
    <mergeCell ref="AJ58:AJ62"/>
    <mergeCell ref="AK58:AK62"/>
    <mergeCell ref="AL58:AL62"/>
    <mergeCell ref="F83:H87"/>
    <mergeCell ref="K83:M87"/>
    <mergeCell ref="W83:W87"/>
    <mergeCell ref="AE83:AE87"/>
    <mergeCell ref="AF83:AF87"/>
    <mergeCell ref="AK83:AK87"/>
    <mergeCell ref="AL83:AL87"/>
    <mergeCell ref="AE78:AE82"/>
    <mergeCell ref="AF78:AF82"/>
    <mergeCell ref="AL73:AL77"/>
    <mergeCell ref="AB63:AB67"/>
    <mergeCell ref="AC63:AC67"/>
    <mergeCell ref="X58:X60"/>
    <mergeCell ref="Y58:Y60"/>
    <mergeCell ref="AI68:AI72"/>
    <mergeCell ref="AJ68:AJ72"/>
    <mergeCell ref="AK68:AK72"/>
    <mergeCell ref="Z51:Z52"/>
    <mergeCell ref="AA51:AA52"/>
    <mergeCell ref="Z48:Z50"/>
    <mergeCell ref="AA48:AA50"/>
    <mergeCell ref="X53:X55"/>
    <mergeCell ref="Y53:Y55"/>
    <mergeCell ref="Z53:Z55"/>
    <mergeCell ref="AA53:AA55"/>
    <mergeCell ref="AE48:AE52"/>
    <mergeCell ref="B58:B62"/>
    <mergeCell ref="C58:E62"/>
    <mergeCell ref="F58:H62"/>
    <mergeCell ref="K58:M62"/>
    <mergeCell ref="W58:W62"/>
    <mergeCell ref="Z58:Z60"/>
    <mergeCell ref="AA58:AA60"/>
    <mergeCell ref="B48:B52"/>
    <mergeCell ref="C48:E52"/>
    <mergeCell ref="F48:H52"/>
    <mergeCell ref="K48:M52"/>
    <mergeCell ref="W48:W52"/>
    <mergeCell ref="B53:B57"/>
    <mergeCell ref="C53:E57"/>
    <mergeCell ref="F53:H57"/>
    <mergeCell ref="K53:M57"/>
    <mergeCell ref="X51:X52"/>
    <mergeCell ref="W53:W57"/>
    <mergeCell ref="AL103:AL107"/>
    <mergeCell ref="AP113:AP117"/>
    <mergeCell ref="AB108:AB112"/>
    <mergeCell ref="AC58:AC62"/>
    <mergeCell ref="AD58:AD62"/>
    <mergeCell ref="AN103:AN107"/>
    <mergeCell ref="B38:B42"/>
    <mergeCell ref="C38:E42"/>
    <mergeCell ref="F38:H42"/>
    <mergeCell ref="K38:M42"/>
    <mergeCell ref="W38:W42"/>
    <mergeCell ref="AE38:AE42"/>
    <mergeCell ref="AF38:AF42"/>
    <mergeCell ref="AG38:AG42"/>
    <mergeCell ref="AH38:AH42"/>
    <mergeCell ref="AB38:AB42"/>
    <mergeCell ref="AC38:AC42"/>
    <mergeCell ref="AD38:AD42"/>
    <mergeCell ref="AN48:AN52"/>
    <mergeCell ref="AE53:AE57"/>
    <mergeCell ref="AF53:AF57"/>
    <mergeCell ref="AG53:AG57"/>
    <mergeCell ref="AH53:AH57"/>
    <mergeCell ref="AK103:AK107"/>
    <mergeCell ref="B108:B112"/>
    <mergeCell ref="C108:E112"/>
    <mergeCell ref="F108:H112"/>
    <mergeCell ref="K108:M112"/>
    <mergeCell ref="W108:W112"/>
    <mergeCell ref="F113:H117"/>
    <mergeCell ref="K113:M117"/>
    <mergeCell ref="W113:W117"/>
    <mergeCell ref="AE113:AE117"/>
    <mergeCell ref="AB113:AB117"/>
    <mergeCell ref="AC113:AC117"/>
    <mergeCell ref="AD113:AD117"/>
    <mergeCell ref="AG113:AG117"/>
    <mergeCell ref="AH113:AH117"/>
    <mergeCell ref="AI113:AI117"/>
    <mergeCell ref="AJ113:AJ117"/>
    <mergeCell ref="B113:B117"/>
    <mergeCell ref="C113:E117"/>
    <mergeCell ref="AG103:AG107"/>
    <mergeCell ref="AH103:AH107"/>
    <mergeCell ref="AI103:AI107"/>
    <mergeCell ref="AJ103:AJ107"/>
    <mergeCell ref="AD108:AD112"/>
    <mergeCell ref="AC43:AC47"/>
    <mergeCell ref="AD43:AD47"/>
    <mergeCell ref="X108:X110"/>
    <mergeCell ref="AP103:AP107"/>
    <mergeCell ref="B103:B107"/>
    <mergeCell ref="C103:E107"/>
    <mergeCell ref="F103:H107"/>
    <mergeCell ref="K103:M107"/>
    <mergeCell ref="W103:W107"/>
    <mergeCell ref="AE103:AE107"/>
    <mergeCell ref="AF103:AF107"/>
    <mergeCell ref="AB103:AB107"/>
    <mergeCell ref="AC103:AC107"/>
    <mergeCell ref="AD103:AD107"/>
    <mergeCell ref="AG108:AG112"/>
    <mergeCell ref="AH108:AH112"/>
    <mergeCell ref="AI108:AI112"/>
    <mergeCell ref="AJ108:AJ112"/>
    <mergeCell ref="AK108:AK112"/>
    <mergeCell ref="AL108:AL112"/>
    <mergeCell ref="AM108:AM112"/>
    <mergeCell ref="AN53:AN57"/>
    <mergeCell ref="AO108:AO112"/>
    <mergeCell ref="AP108:AP112"/>
    <mergeCell ref="AF28:AF32"/>
    <mergeCell ref="AG28:AG32"/>
    <mergeCell ref="AH28:AH32"/>
    <mergeCell ref="AI28:AI32"/>
    <mergeCell ref="AJ28:AJ32"/>
    <mergeCell ref="AK28:AK32"/>
    <mergeCell ref="AL28:AL32"/>
    <mergeCell ref="AM28:AM32"/>
    <mergeCell ref="AL93:AL97"/>
    <mergeCell ref="AM93:AM97"/>
    <mergeCell ref="AF93:AF97"/>
    <mergeCell ref="AM73:AM77"/>
    <mergeCell ref="AM58:AM62"/>
    <mergeCell ref="AJ53:AJ57"/>
    <mergeCell ref="AF33:AF37"/>
    <mergeCell ref="AG33:AG37"/>
    <mergeCell ref="AH33:AH37"/>
    <mergeCell ref="AI33:AI37"/>
    <mergeCell ref="AI53:AI57"/>
    <mergeCell ref="AL68:AL72"/>
    <mergeCell ref="AF43:AF47"/>
    <mergeCell ref="AM103:AM107"/>
    <mergeCell ref="AF48:AF52"/>
    <mergeCell ref="AG48:AG52"/>
    <mergeCell ref="AG58:AG62"/>
    <mergeCell ref="AH58:AH62"/>
    <mergeCell ref="B43:B47"/>
    <mergeCell ref="C43:E47"/>
    <mergeCell ref="F43:H47"/>
    <mergeCell ref="K43:M47"/>
    <mergeCell ref="W43:W47"/>
    <mergeCell ref="AB93:AB97"/>
    <mergeCell ref="AB98:AB102"/>
    <mergeCell ref="B93:B97"/>
    <mergeCell ref="C93:E97"/>
    <mergeCell ref="F93:H97"/>
    <mergeCell ref="K93:M97"/>
    <mergeCell ref="W93:W97"/>
    <mergeCell ref="B98:B102"/>
    <mergeCell ref="C98:E102"/>
    <mergeCell ref="F98:H102"/>
    <mergeCell ref="K98:M102"/>
    <mergeCell ref="W98:W102"/>
    <mergeCell ref="B83:B87"/>
    <mergeCell ref="AB43:AB47"/>
    <mergeCell ref="X31:X32"/>
    <mergeCell ref="Y31:Y32"/>
    <mergeCell ref="Z31:Z32"/>
    <mergeCell ref="AA31:AA32"/>
    <mergeCell ref="X33:X35"/>
    <mergeCell ref="Y33:Y35"/>
    <mergeCell ref="Z33:Z35"/>
    <mergeCell ref="AA33:AA35"/>
    <mergeCell ref="X36:X37"/>
    <mergeCell ref="Y36:Y37"/>
    <mergeCell ref="Z36:Z37"/>
    <mergeCell ref="B28:B32"/>
    <mergeCell ref="C28:E32"/>
    <mergeCell ref="F28:H32"/>
    <mergeCell ref="K28:M32"/>
    <mergeCell ref="W28:W32"/>
    <mergeCell ref="X38:X40"/>
    <mergeCell ref="Y38:Y40"/>
    <mergeCell ref="Z38:Z40"/>
    <mergeCell ref="AE28:AE32"/>
    <mergeCell ref="B33:B37"/>
    <mergeCell ref="C33:E37"/>
    <mergeCell ref="F33:H37"/>
    <mergeCell ref="K33:M37"/>
    <mergeCell ref="W33:W37"/>
    <mergeCell ref="AE33:AE37"/>
    <mergeCell ref="AB28:AB32"/>
    <mergeCell ref="AC28:AC32"/>
    <mergeCell ref="AD28:AD32"/>
    <mergeCell ref="X28:X30"/>
    <mergeCell ref="Y28:Y30"/>
    <mergeCell ref="Z28:Z30"/>
    <mergeCell ref="AA28:AA30"/>
    <mergeCell ref="AA36:AA37"/>
    <mergeCell ref="AB33:AB37"/>
    <mergeCell ref="AC33:AC37"/>
    <mergeCell ref="AD33:AD37"/>
    <mergeCell ref="AO93:AO97"/>
    <mergeCell ref="AP93:AP97"/>
    <mergeCell ref="AL98:AL102"/>
    <mergeCell ref="AM98:AM102"/>
    <mergeCell ref="AN98:AN102"/>
    <mergeCell ref="AO98:AO102"/>
    <mergeCell ref="AP98:AP102"/>
    <mergeCell ref="AG93:AG97"/>
    <mergeCell ref="AH93:AH97"/>
    <mergeCell ref="AI93:AI97"/>
    <mergeCell ref="AJ93:AJ97"/>
    <mergeCell ref="AK93:AK97"/>
    <mergeCell ref="AG98:AG102"/>
    <mergeCell ref="AH98:AH102"/>
    <mergeCell ref="AI98:AI102"/>
    <mergeCell ref="AJ98:AJ102"/>
    <mergeCell ref="AK98:AK102"/>
    <mergeCell ref="AC93:AC97"/>
    <mergeCell ref="AD93:AD97"/>
    <mergeCell ref="AC98:AC102"/>
    <mergeCell ref="AD98:AD102"/>
    <mergeCell ref="AO88:AO92"/>
    <mergeCell ref="AP88:AP92"/>
    <mergeCell ref="AG78:AG82"/>
    <mergeCell ref="AH78:AH82"/>
    <mergeCell ref="AI78:AI82"/>
    <mergeCell ref="AJ78:AJ82"/>
    <mergeCell ref="AK78:AK82"/>
    <mergeCell ref="AL78:AL82"/>
    <mergeCell ref="AM78:AM82"/>
    <mergeCell ref="AN78:AN82"/>
    <mergeCell ref="AO78:AO82"/>
    <mergeCell ref="AP78:AP82"/>
    <mergeCell ref="AG83:AG87"/>
    <mergeCell ref="AH83:AH87"/>
    <mergeCell ref="AI83:AI87"/>
    <mergeCell ref="AJ83:AJ87"/>
    <mergeCell ref="AM83:AM87"/>
    <mergeCell ref="AN83:AN87"/>
    <mergeCell ref="AO83:AO87"/>
    <mergeCell ref="AP83:AP87"/>
    <mergeCell ref="AG88:AG92"/>
    <mergeCell ref="AH88:AH92"/>
    <mergeCell ref="AI88:AI92"/>
    <mergeCell ref="AJ88:AJ92"/>
    <mergeCell ref="C83:E87"/>
    <mergeCell ref="AG73:AG77"/>
    <mergeCell ref="AH73:AH77"/>
    <mergeCell ref="AI73:AI77"/>
    <mergeCell ref="AJ73:AJ77"/>
    <mergeCell ref="AK73:AK77"/>
    <mergeCell ref="B78:B82"/>
    <mergeCell ref="C78:E82"/>
    <mergeCell ref="F78:H82"/>
    <mergeCell ref="K78:M82"/>
    <mergeCell ref="W78:W82"/>
    <mergeCell ref="AB73:AB77"/>
    <mergeCell ref="AC73:AC77"/>
    <mergeCell ref="AD73:AD77"/>
    <mergeCell ref="AB78:AB82"/>
    <mergeCell ref="AC78:AC82"/>
    <mergeCell ref="AD78:AD82"/>
    <mergeCell ref="AB83:AB87"/>
    <mergeCell ref="AC83:AC87"/>
    <mergeCell ref="AD83:AD87"/>
    <mergeCell ref="X83:X85"/>
    <mergeCell ref="Y83:Y85"/>
    <mergeCell ref="Z83:Z85"/>
    <mergeCell ref="B73:B77"/>
    <mergeCell ref="C73:E77"/>
    <mergeCell ref="F73:H77"/>
    <mergeCell ref="K73:M77"/>
    <mergeCell ref="W73:W77"/>
    <mergeCell ref="AE73:AE77"/>
    <mergeCell ref="AF73:AF77"/>
    <mergeCell ref="X73:X75"/>
    <mergeCell ref="Y73:Y75"/>
    <mergeCell ref="Z73:Z75"/>
    <mergeCell ref="AA73:AA75"/>
    <mergeCell ref="X76:X77"/>
    <mergeCell ref="Y76:Y77"/>
    <mergeCell ref="Z76:Z77"/>
    <mergeCell ref="AA76:AA77"/>
    <mergeCell ref="B68:B72"/>
    <mergeCell ref="C68:E72"/>
    <mergeCell ref="F68:H72"/>
    <mergeCell ref="K68:M72"/>
    <mergeCell ref="W68:W72"/>
    <mergeCell ref="AE68:AE72"/>
    <mergeCell ref="AF68:AF72"/>
    <mergeCell ref="AG68:AG72"/>
    <mergeCell ref="AH68:AH72"/>
    <mergeCell ref="AB68:AB72"/>
    <mergeCell ref="AC68:AC72"/>
    <mergeCell ref="AD68:AD72"/>
    <mergeCell ref="X68:X70"/>
    <mergeCell ref="Y68:Y70"/>
    <mergeCell ref="Z68:Z70"/>
    <mergeCell ref="AA68:AA70"/>
    <mergeCell ref="Y71:Y72"/>
    <mergeCell ref="Z71:Z72"/>
    <mergeCell ref="AA71:AA72"/>
    <mergeCell ref="AP63:AP67"/>
    <mergeCell ref="B63:B67"/>
    <mergeCell ref="C63:E67"/>
    <mergeCell ref="F63:H67"/>
    <mergeCell ref="K63:M67"/>
    <mergeCell ref="W63:W67"/>
    <mergeCell ref="AE63:AE67"/>
    <mergeCell ref="AF63:AF67"/>
    <mergeCell ref="AG63:AG67"/>
    <mergeCell ref="AH63:AH67"/>
    <mergeCell ref="AI63:AI67"/>
    <mergeCell ref="AJ63:AJ67"/>
    <mergeCell ref="AK63:AK67"/>
    <mergeCell ref="AL63:AL67"/>
    <mergeCell ref="AM63:AM67"/>
    <mergeCell ref="AN63:AN67"/>
    <mergeCell ref="AO63:AO67"/>
    <mergeCell ref="AD63:AD67"/>
    <mergeCell ref="AO58:AO62"/>
    <mergeCell ref="AP58:AP62"/>
    <mergeCell ref="AP43:AP47"/>
    <mergeCell ref="AO48:AO52"/>
    <mergeCell ref="AP48:AP52"/>
    <mergeCell ref="AN33:AN37"/>
    <mergeCell ref="AN28:AN32"/>
    <mergeCell ref="AO28:AO32"/>
    <mergeCell ref="AP28:AP32"/>
    <mergeCell ref="AO33:AO37"/>
    <mergeCell ref="AP33:AP37"/>
    <mergeCell ref="AN38:AN42"/>
    <mergeCell ref="AO38:AO42"/>
    <mergeCell ref="AP38:AP42"/>
    <mergeCell ref="AN43:AN47"/>
    <mergeCell ref="AO43:AO47"/>
    <mergeCell ref="AO53:AO57"/>
    <mergeCell ref="AP53:AP57"/>
    <mergeCell ref="AN58:AN62"/>
    <mergeCell ref="H2:H3"/>
    <mergeCell ref="H4:H5"/>
    <mergeCell ref="B15:C15"/>
    <mergeCell ref="B16:C16"/>
    <mergeCell ref="B17:C17"/>
    <mergeCell ref="B2:G5"/>
    <mergeCell ref="B6:H6"/>
    <mergeCell ref="B13:H14"/>
    <mergeCell ref="AM20:AP20"/>
    <mergeCell ref="B20:H21"/>
    <mergeCell ref="AG20:AI20"/>
    <mergeCell ref="B8:C11"/>
    <mergeCell ref="D8:H11"/>
    <mergeCell ref="AP23:AP27"/>
    <mergeCell ref="AN23:AN27"/>
    <mergeCell ref="W23:W27"/>
    <mergeCell ref="K20:V20"/>
    <mergeCell ref="K21:M22"/>
    <mergeCell ref="K23:M27"/>
    <mergeCell ref="T21:T22"/>
    <mergeCell ref="U21:U22"/>
    <mergeCell ref="V21:V22"/>
    <mergeCell ref="O21:O22"/>
    <mergeCell ref="P21:P22"/>
    <mergeCell ref="AE23:AE27"/>
    <mergeCell ref="AF23:AF27"/>
    <mergeCell ref="AG23:AG27"/>
    <mergeCell ref="AH23:AH27"/>
    <mergeCell ref="AI23:AI27"/>
    <mergeCell ref="AO23:AO27"/>
    <mergeCell ref="X23:X25"/>
    <mergeCell ref="Y23:Y25"/>
    <mergeCell ref="AA23:AA25"/>
    <mergeCell ref="AJ23:AJ27"/>
    <mergeCell ref="AK23:AK27"/>
    <mergeCell ref="AL23:AL27"/>
    <mergeCell ref="AM23:AM27"/>
    <mergeCell ref="C22:E22"/>
    <mergeCell ref="F22:H22"/>
    <mergeCell ref="B23:B27"/>
    <mergeCell ref="C23:E27"/>
    <mergeCell ref="F23:H27"/>
    <mergeCell ref="AJ20:AL20"/>
    <mergeCell ref="X20:AA20"/>
    <mergeCell ref="W21:W22"/>
    <mergeCell ref="Q21:Q22"/>
    <mergeCell ref="R21:R22"/>
    <mergeCell ref="S21:S22"/>
    <mergeCell ref="N21:N22"/>
    <mergeCell ref="AB20:AF20"/>
    <mergeCell ref="AB23:AB27"/>
    <mergeCell ref="AC23:AC27"/>
    <mergeCell ref="AD23:AD27"/>
    <mergeCell ref="Z23:Z25"/>
    <mergeCell ref="X26:X27"/>
    <mergeCell ref="Y26:Y27"/>
    <mergeCell ref="AA26:AA27"/>
    <mergeCell ref="Z26:Z27"/>
    <mergeCell ref="AS23:AS27"/>
    <mergeCell ref="AT23:AT27"/>
    <mergeCell ref="AU23:AU27"/>
    <mergeCell ref="AV23:AV27"/>
    <mergeCell ref="AW23:AW27"/>
    <mergeCell ref="AX23:AX27"/>
    <mergeCell ref="AY23:AY27"/>
    <mergeCell ref="AZ23:AZ27"/>
    <mergeCell ref="AR28:AR32"/>
    <mergeCell ref="AS28:AS32"/>
    <mergeCell ref="AT28:AT32"/>
    <mergeCell ref="AU28:AU32"/>
    <mergeCell ref="AV28:AV32"/>
    <mergeCell ref="AW28:AW32"/>
    <mergeCell ref="AX28:AX32"/>
    <mergeCell ref="AY28:AY32"/>
    <mergeCell ref="AR23:AR27"/>
    <mergeCell ref="AR33:AR37"/>
    <mergeCell ref="AS33:AS37"/>
    <mergeCell ref="AT33:AT37"/>
    <mergeCell ref="AU33:AU37"/>
    <mergeCell ref="AV33:AV37"/>
    <mergeCell ref="AW33:AW37"/>
    <mergeCell ref="AX33:AX37"/>
    <mergeCell ref="AY33:AY37"/>
    <mergeCell ref="AR38:AR42"/>
    <mergeCell ref="AS38:AS42"/>
    <mergeCell ref="AT38:AT42"/>
    <mergeCell ref="AU38:AU42"/>
    <mergeCell ref="AV38:AV42"/>
    <mergeCell ref="AW38:AW42"/>
    <mergeCell ref="AX38:AX42"/>
    <mergeCell ref="AY38:AY42"/>
    <mergeCell ref="AT43:AT47"/>
    <mergeCell ref="AU43:AU47"/>
    <mergeCell ref="AV43:AV47"/>
    <mergeCell ref="AW43:AW47"/>
    <mergeCell ref="AX43:AX47"/>
    <mergeCell ref="AY43:AY47"/>
    <mergeCell ref="AR48:AR52"/>
    <mergeCell ref="AS48:AS52"/>
    <mergeCell ref="AT48:AT52"/>
    <mergeCell ref="AU48:AU52"/>
    <mergeCell ref="AV48:AV52"/>
    <mergeCell ref="AW48:AW52"/>
    <mergeCell ref="AX48:AX52"/>
    <mergeCell ref="AY48:AY52"/>
    <mergeCell ref="AR43:AR47"/>
    <mergeCell ref="AS43:AS47"/>
    <mergeCell ref="AW53:AW57"/>
    <mergeCell ref="AX53:AX57"/>
    <mergeCell ref="AY53:AY57"/>
    <mergeCell ref="AR58:AR62"/>
    <mergeCell ref="AS58:AS62"/>
    <mergeCell ref="AT58:AT62"/>
    <mergeCell ref="AU58:AU62"/>
    <mergeCell ref="AV58:AV62"/>
    <mergeCell ref="AW58:AW62"/>
    <mergeCell ref="AX58:AX62"/>
    <mergeCell ref="AY58:AY62"/>
    <mergeCell ref="AR63:AR67"/>
    <mergeCell ref="AS63:AS67"/>
    <mergeCell ref="AT63:AT67"/>
    <mergeCell ref="AU63:AU67"/>
    <mergeCell ref="AV63:AV67"/>
    <mergeCell ref="AW63:AW67"/>
    <mergeCell ref="AX63:AX67"/>
    <mergeCell ref="AY63:AY67"/>
    <mergeCell ref="AR68:AR72"/>
    <mergeCell ref="AS68:AS72"/>
    <mergeCell ref="AT68:AT72"/>
    <mergeCell ref="AU68:AU72"/>
    <mergeCell ref="AV68:AV72"/>
    <mergeCell ref="AW68:AW72"/>
    <mergeCell ref="AX68:AX72"/>
    <mergeCell ref="AY68:AY72"/>
    <mergeCell ref="AR88:AR92"/>
    <mergeCell ref="AS88:AS92"/>
    <mergeCell ref="AT88:AT92"/>
    <mergeCell ref="AU88:AU92"/>
    <mergeCell ref="AV88:AV92"/>
    <mergeCell ref="AW88:AW92"/>
    <mergeCell ref="AX88:AX92"/>
    <mergeCell ref="AY88:AY92"/>
    <mergeCell ref="AR93:AR97"/>
    <mergeCell ref="AS93:AS97"/>
    <mergeCell ref="AT93:AT97"/>
    <mergeCell ref="AU93:AU97"/>
    <mergeCell ref="AV93:AV97"/>
    <mergeCell ref="AW93:AW97"/>
    <mergeCell ref="AX93:AX97"/>
    <mergeCell ref="AY93:AY97"/>
    <mergeCell ref="AW98:AW102"/>
    <mergeCell ref="AX98:AX102"/>
    <mergeCell ref="AY98:AY102"/>
    <mergeCell ref="AR103:AR107"/>
    <mergeCell ref="AS103:AS107"/>
    <mergeCell ref="AT103:AT107"/>
    <mergeCell ref="AU103:AU107"/>
    <mergeCell ref="AV103:AV107"/>
    <mergeCell ref="AW103:AW107"/>
    <mergeCell ref="AX103:AX107"/>
    <mergeCell ref="AY103:AY107"/>
    <mergeCell ref="AR118:AR122"/>
    <mergeCell ref="AS118:AS122"/>
    <mergeCell ref="AT118:AT122"/>
    <mergeCell ref="AU118:AU122"/>
    <mergeCell ref="AV118:AV122"/>
    <mergeCell ref="AW118:AW122"/>
    <mergeCell ref="AX118:AX122"/>
    <mergeCell ref="AY118:AY122"/>
    <mergeCell ref="AR108:AR112"/>
    <mergeCell ref="AS108:AS112"/>
    <mergeCell ref="AT108:AT112"/>
    <mergeCell ref="AU108:AU112"/>
    <mergeCell ref="AV108:AV112"/>
    <mergeCell ref="AW108:AW112"/>
    <mergeCell ref="AX108:AX112"/>
    <mergeCell ref="AY108:AY112"/>
    <mergeCell ref="AR113:AR117"/>
    <mergeCell ref="AS113:AS117"/>
    <mergeCell ref="AT113:AT117"/>
    <mergeCell ref="AU113:AU117"/>
    <mergeCell ref="AV113:AV117"/>
    <mergeCell ref="AW113:AW117"/>
    <mergeCell ref="AX113:AX117"/>
    <mergeCell ref="AY113:AY117"/>
  </mergeCells>
  <phoneticPr fontId="4" type="noConversion"/>
  <conditionalFormatting sqref="R6:AJ6">
    <cfRule type="cellIs" dxfId="3" priority="3" operator="equal">
      <formula>$J$2</formula>
    </cfRule>
    <cfRule type="cellIs" dxfId="2" priority="4" operator="equal">
      <formula>$I$2</formula>
    </cfRule>
  </conditionalFormatting>
  <conditionalFormatting sqref="Q7:Q17">
    <cfRule type="cellIs" dxfId="1" priority="1" operator="equal">
      <formula>$I$3</formula>
    </cfRule>
    <cfRule type="cellIs" dxfId="0" priority="2" operator="equal">
      <formula>$J$3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0.mtkTONEanalysis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Vance Huang (黃俊瑋)</dc:creator>
  <cp:lastModifiedBy>TrevorEChen(陳恩)</cp:lastModifiedBy>
  <dcterms:created xsi:type="dcterms:W3CDTF">2019-10-29T06:27:27Z</dcterms:created>
  <dcterms:modified xsi:type="dcterms:W3CDTF">2023-06-29T02:16:07Z</dcterms:modified>
</cp:coreProperties>
</file>