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\5.mtkAEanalysis\"/>
    </mc:Choice>
  </mc:AlternateContent>
  <xr:revisionPtr revIDLastSave="0" documentId="13_ncr:1_{F1B1CCF9-64B8-459E-834C-F6F03B591170}" xr6:coauthVersionLast="47" xr6:coauthVersionMax="47" xr10:uidLastSave="{00000000-0000-0000-0000-000000000000}"/>
  <bookViews>
    <workbookView xWindow="-120" yWindow="-17025" windowWidth="29040" windowHeight="15840" xr2:uid="{00000000-000D-0000-FFFF-FFFF00000000}"/>
  </bookViews>
  <sheets>
    <sheet name="0.AEanalysis" sheetId="1" r:id="rId1"/>
    <sheet name="AEPline" sheetId="2" r:id="rId2"/>
  </sheets>
  <definedNames>
    <definedName name="solver_adj" localSheetId="0" hidden="1">'0.AEanalysis'!$H$6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'0.AEanalysis'!$H$10</definedName>
    <definedName name="solver_pre" localSheetId="0" hidden="1">0.000001</definedName>
    <definedName name="solver_rbv" localSheetId="0" hidden="1">2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-0.764487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C2" i="1" l="1"/>
  <c r="AV4" i="1"/>
  <c r="BK14" i="1"/>
  <c r="BK13" i="1"/>
  <c r="BG15" i="1"/>
  <c r="BF15" i="1"/>
  <c r="BM13" i="1"/>
  <c r="BH13" i="1"/>
  <c r="AV13" i="1"/>
  <c r="BH12" i="1"/>
  <c r="BM15" i="1" s="1"/>
  <c r="AV12" i="1"/>
  <c r="AZ8" i="1"/>
  <c r="BC4" i="1" s="1"/>
  <c r="AV7" i="1"/>
  <c r="AZ6" i="1"/>
  <c r="AZ5" i="1"/>
  <c r="B55" i="1"/>
  <c r="I55" i="1" s="1"/>
  <c r="B39" i="1"/>
  <c r="I39" i="1" s="1"/>
  <c r="F35" i="1"/>
  <c r="B35" i="1"/>
  <c r="B54" i="1" s="1"/>
  <c r="J21" i="1"/>
  <c r="I21" i="1"/>
  <c r="H21" i="1"/>
  <c r="G21" i="1"/>
  <c r="F21" i="1"/>
  <c r="E21" i="1"/>
  <c r="D21" i="1"/>
  <c r="C21" i="1"/>
  <c r="J20" i="1"/>
  <c r="I20" i="1"/>
  <c r="H20" i="1"/>
  <c r="G20" i="1"/>
  <c r="F20" i="1"/>
  <c r="E20" i="1"/>
  <c r="D20" i="1"/>
  <c r="C20" i="1"/>
  <c r="AQ50" i="1"/>
  <c r="AN50" i="1"/>
  <c r="AM50" i="1"/>
  <c r="AL50" i="1"/>
  <c r="AK50" i="1"/>
  <c r="AJ50" i="1"/>
  <c r="AI50" i="1"/>
  <c r="AF50" i="1"/>
  <c r="AE50" i="1"/>
  <c r="AD50" i="1"/>
  <c r="AC50" i="1"/>
  <c r="AB50" i="1"/>
  <c r="AA50" i="1"/>
  <c r="AN49" i="1"/>
  <c r="AM49" i="1"/>
  <c r="AL49" i="1"/>
  <c r="AK49" i="1"/>
  <c r="AF49" i="1"/>
  <c r="AE49" i="1"/>
  <c r="AD49" i="1"/>
  <c r="AC49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AQ47" i="1"/>
  <c r="AQ49" i="1" s="1"/>
  <c r="AP47" i="1"/>
  <c r="AP50" i="1" s="1"/>
  <c r="AO47" i="1"/>
  <c r="AO50" i="1" s="1"/>
  <c r="AN47" i="1"/>
  <c r="AM47" i="1"/>
  <c r="AL47" i="1"/>
  <c r="AK47" i="1"/>
  <c r="AJ47" i="1"/>
  <c r="AJ49" i="1" s="1"/>
  <c r="AI47" i="1"/>
  <c r="AI49" i="1" s="1"/>
  <c r="AH47" i="1"/>
  <c r="AH50" i="1" s="1"/>
  <c r="AG47" i="1"/>
  <c r="AG50" i="1" s="1"/>
  <c r="AF47" i="1"/>
  <c r="AE47" i="1"/>
  <c r="AD47" i="1"/>
  <c r="AC47" i="1"/>
  <c r="AB47" i="1"/>
  <c r="AB49" i="1" s="1"/>
  <c r="AA47" i="1"/>
  <c r="AA49" i="1" s="1"/>
  <c r="Z47" i="1"/>
  <c r="Z50" i="1" s="1"/>
  <c r="BA15" i="1" s="1"/>
  <c r="BC15" i="1" s="1"/>
  <c r="AQ42" i="1"/>
  <c r="AN42" i="1"/>
  <c r="AM42" i="1"/>
  <c r="AJ42" i="1"/>
  <c r="AI42" i="1"/>
  <c r="AF42" i="1"/>
  <c r="AE42" i="1"/>
  <c r="AB42" i="1"/>
  <c r="AA42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AQ39" i="1"/>
  <c r="AQ41" i="1" s="1"/>
  <c r="AP39" i="1"/>
  <c r="AP42" i="1" s="1"/>
  <c r="AO39" i="1"/>
  <c r="AO42" i="1" s="1"/>
  <c r="AN39" i="1"/>
  <c r="AN41" i="1" s="1"/>
  <c r="AM39" i="1"/>
  <c r="AM41" i="1" s="1"/>
  <c r="AL39" i="1"/>
  <c r="AL42" i="1" s="1"/>
  <c r="AK39" i="1"/>
  <c r="AK42" i="1" s="1"/>
  <c r="AJ39" i="1"/>
  <c r="AJ41" i="1" s="1"/>
  <c r="AI39" i="1"/>
  <c r="AI41" i="1" s="1"/>
  <c r="AH39" i="1"/>
  <c r="AH42" i="1" s="1"/>
  <c r="AG39" i="1"/>
  <c r="AG42" i="1" s="1"/>
  <c r="AF39" i="1"/>
  <c r="AF41" i="1" s="1"/>
  <c r="AE39" i="1"/>
  <c r="AE41" i="1" s="1"/>
  <c r="AD39" i="1"/>
  <c r="AD42" i="1" s="1"/>
  <c r="AC39" i="1"/>
  <c r="AC42" i="1" s="1"/>
  <c r="AB39" i="1"/>
  <c r="AB41" i="1" s="1"/>
  <c r="AA39" i="1"/>
  <c r="AA41" i="1" s="1"/>
  <c r="Z39" i="1"/>
  <c r="Z42" i="1" s="1"/>
  <c r="Y44" i="1"/>
  <c r="BJ15" i="1" l="1"/>
  <c r="BN15" i="1" s="1"/>
  <c r="BK15" i="1"/>
  <c r="BL15" i="1"/>
  <c r="BO15" i="1" s="1"/>
  <c r="J54" i="1"/>
  <c r="I54" i="1"/>
  <c r="H54" i="1"/>
  <c r="G54" i="1"/>
  <c r="F54" i="1"/>
  <c r="D54" i="1"/>
  <c r="E54" i="1"/>
  <c r="C54" i="1"/>
  <c r="B47" i="1"/>
  <c r="J55" i="1"/>
  <c r="B40" i="1"/>
  <c r="C55" i="1"/>
  <c r="H35" i="1"/>
  <c r="D39" i="1"/>
  <c r="B41" i="1"/>
  <c r="B49" i="1"/>
  <c r="D55" i="1"/>
  <c r="G35" i="1"/>
  <c r="C39" i="1"/>
  <c r="B48" i="1"/>
  <c r="I35" i="1"/>
  <c r="E39" i="1"/>
  <c r="B42" i="1"/>
  <c r="B50" i="1"/>
  <c r="E55" i="1"/>
  <c r="B43" i="1"/>
  <c r="C35" i="1"/>
  <c r="G55" i="1"/>
  <c r="J35" i="1"/>
  <c r="B51" i="1"/>
  <c r="B36" i="1"/>
  <c r="D35" i="1"/>
  <c r="B37" i="1"/>
  <c r="H39" i="1"/>
  <c r="B45" i="1"/>
  <c r="B53" i="1"/>
  <c r="H55" i="1"/>
  <c r="J39" i="1"/>
  <c r="F39" i="1"/>
  <c r="F55" i="1"/>
  <c r="G39" i="1"/>
  <c r="B44" i="1"/>
  <c r="B52" i="1"/>
  <c r="E35" i="1"/>
  <c r="B38" i="1"/>
  <c r="B46" i="1"/>
  <c r="AG49" i="1"/>
  <c r="AO49" i="1"/>
  <c r="Z49" i="1"/>
  <c r="AH49" i="1"/>
  <c r="AP49" i="1"/>
  <c r="AC41" i="1"/>
  <c r="AK41" i="1"/>
  <c r="AD41" i="1"/>
  <c r="AL41" i="1"/>
  <c r="AG41" i="1"/>
  <c r="AO41" i="1"/>
  <c r="Z41" i="1"/>
  <c r="AH41" i="1"/>
  <c r="AP41" i="1"/>
  <c r="BV10" i="1"/>
  <c r="AQ16" i="1"/>
  <c r="AP16" i="1"/>
  <c r="AO16" i="1"/>
  <c r="AN16" i="1"/>
  <c r="AZ15" i="1" l="1"/>
  <c r="G49" i="1"/>
  <c r="F49" i="1"/>
  <c r="E49" i="1"/>
  <c r="D49" i="1"/>
  <c r="C49" i="1"/>
  <c r="J49" i="1"/>
  <c r="I49" i="1"/>
  <c r="H49" i="1"/>
  <c r="G41" i="1"/>
  <c r="F41" i="1"/>
  <c r="D41" i="1"/>
  <c r="E41" i="1"/>
  <c r="C41" i="1"/>
  <c r="J41" i="1"/>
  <c r="I41" i="1"/>
  <c r="H41" i="1"/>
  <c r="J46" i="1"/>
  <c r="I46" i="1"/>
  <c r="G46" i="1"/>
  <c r="H46" i="1"/>
  <c r="F46" i="1"/>
  <c r="D46" i="1"/>
  <c r="E46" i="1"/>
  <c r="C46" i="1"/>
  <c r="E51" i="1"/>
  <c r="J51" i="1"/>
  <c r="D51" i="1"/>
  <c r="C51" i="1"/>
  <c r="I51" i="1"/>
  <c r="H51" i="1"/>
  <c r="G51" i="1"/>
  <c r="F51" i="1"/>
  <c r="F50" i="1"/>
  <c r="D50" i="1"/>
  <c r="C50" i="1"/>
  <c r="E50" i="1"/>
  <c r="J50" i="1"/>
  <c r="H50" i="1"/>
  <c r="I50" i="1"/>
  <c r="G50" i="1"/>
  <c r="F42" i="1"/>
  <c r="D42" i="1"/>
  <c r="C42" i="1"/>
  <c r="E42" i="1"/>
  <c r="J42" i="1"/>
  <c r="H42" i="1"/>
  <c r="I42" i="1"/>
  <c r="G42" i="1"/>
  <c r="C53" i="1"/>
  <c r="I53" i="1"/>
  <c r="J53" i="1"/>
  <c r="H53" i="1"/>
  <c r="G53" i="1"/>
  <c r="F53" i="1"/>
  <c r="E53" i="1"/>
  <c r="D53" i="1"/>
  <c r="H48" i="1"/>
  <c r="F48" i="1"/>
  <c r="G48" i="1"/>
  <c r="E48" i="1"/>
  <c r="D48" i="1"/>
  <c r="C48" i="1"/>
  <c r="J48" i="1"/>
  <c r="I48" i="1"/>
  <c r="D52" i="1"/>
  <c r="C52" i="1"/>
  <c r="J52" i="1"/>
  <c r="I52" i="1"/>
  <c r="H52" i="1"/>
  <c r="G52" i="1"/>
  <c r="F52" i="1"/>
  <c r="E52" i="1"/>
  <c r="C45" i="1"/>
  <c r="I45" i="1"/>
  <c r="J45" i="1"/>
  <c r="H45" i="1"/>
  <c r="G45" i="1"/>
  <c r="F45" i="1"/>
  <c r="E45" i="1"/>
  <c r="D45" i="1"/>
  <c r="H40" i="1"/>
  <c r="G40" i="1"/>
  <c r="F40" i="1"/>
  <c r="I40" i="1"/>
  <c r="E40" i="1"/>
  <c r="D40" i="1"/>
  <c r="J40" i="1"/>
  <c r="C40" i="1"/>
  <c r="D36" i="1"/>
  <c r="J36" i="1"/>
  <c r="I36" i="1"/>
  <c r="C36" i="1"/>
  <c r="H36" i="1"/>
  <c r="E36" i="1"/>
  <c r="G36" i="1"/>
  <c r="F36" i="1"/>
  <c r="J38" i="1"/>
  <c r="I38" i="1"/>
  <c r="H38" i="1"/>
  <c r="G38" i="1"/>
  <c r="F38" i="1"/>
  <c r="C38" i="1"/>
  <c r="E38" i="1"/>
  <c r="D38" i="1"/>
  <c r="D44" i="1"/>
  <c r="I44" i="1"/>
  <c r="C44" i="1"/>
  <c r="J44" i="1"/>
  <c r="H44" i="1"/>
  <c r="F44" i="1"/>
  <c r="G44" i="1"/>
  <c r="E44" i="1"/>
  <c r="E43" i="1"/>
  <c r="D43" i="1"/>
  <c r="C43" i="1"/>
  <c r="J43" i="1"/>
  <c r="I43" i="1"/>
  <c r="F43" i="1"/>
  <c r="H43" i="1"/>
  <c r="G43" i="1"/>
  <c r="C37" i="1"/>
  <c r="J37" i="1"/>
  <c r="D37" i="1"/>
  <c r="I37" i="1"/>
  <c r="H37" i="1"/>
  <c r="G37" i="1"/>
  <c r="E37" i="1"/>
  <c r="F37" i="1"/>
  <c r="I47" i="1"/>
  <c r="F47" i="1"/>
  <c r="H47" i="1"/>
  <c r="G47" i="1"/>
  <c r="E47" i="1"/>
  <c r="D47" i="1"/>
  <c r="C47" i="1"/>
  <c r="J47" i="1"/>
  <c r="BB15" i="1" l="1"/>
  <c r="BC12" i="1" s="1"/>
  <c r="BT25" i="1"/>
  <c r="BY25" i="1"/>
  <c r="CF14" i="1"/>
  <c r="BS5" i="1"/>
  <c r="BV5" i="1" s="1"/>
  <c r="O8" i="1"/>
  <c r="I14" i="1"/>
  <c r="I13" i="1"/>
  <c r="I12" i="1"/>
  <c r="I11" i="1"/>
  <c r="AZ9" i="1" l="1"/>
  <c r="BO14" i="1" s="1"/>
  <c r="BS6" i="1"/>
  <c r="S9" i="1" l="1"/>
  <c r="BT28" i="1"/>
  <c r="BT27" i="1"/>
  <c r="BY7" i="1" l="1"/>
  <c r="BT12" i="1"/>
  <c r="BQ10" i="1" s="1"/>
  <c r="BM10" i="1"/>
  <c r="AV10" i="1"/>
  <c r="AY87" i="1" s="1"/>
  <c r="M30" i="1"/>
  <c r="R54" i="1" s="1"/>
  <c r="Q55" i="1" s="1"/>
  <c r="L48" i="1"/>
  <c r="R40" i="1"/>
  <c r="S40" i="1"/>
  <c r="T40" i="1"/>
  <c r="L29" i="1"/>
  <c r="T21" i="1"/>
  <c r="S21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10" i="1"/>
  <c r="R50" i="1" s="1"/>
  <c r="Q51" i="1" s="1"/>
  <c r="T14" i="1"/>
  <c r="O61" i="1" s="1"/>
  <c r="E9" i="1"/>
  <c r="E22" i="1" s="1"/>
  <c r="BO10" i="1" l="1"/>
  <c r="AY91" i="1" s="1"/>
  <c r="BV27" i="1"/>
  <c r="BX27" i="1"/>
  <c r="BR27" i="1"/>
  <c r="BR28" i="1" s="1"/>
  <c r="BV28" i="1" s="1"/>
  <c r="I22" i="1"/>
  <c r="G22" i="1"/>
  <c r="C22" i="1"/>
  <c r="BZ12" i="1" l="1"/>
  <c r="CB12" i="1" s="1"/>
  <c r="CB14" i="1" s="1"/>
  <c r="BY5" i="1" s="1"/>
  <c r="BX28" i="1"/>
  <c r="BV12" i="1" s="1"/>
  <c r="BX12" i="1" s="1"/>
  <c r="BX14" i="1" s="1"/>
  <c r="AT10" i="1"/>
  <c r="AU67" i="1"/>
  <c r="AV67" i="1"/>
  <c r="AW67" i="1"/>
  <c r="AX67" i="1"/>
  <c r="AY67" i="1"/>
  <c r="AZ67" i="1"/>
  <c r="BA67" i="1"/>
  <c r="BB67" i="1"/>
  <c r="BC67" i="1"/>
  <c r="AT67" i="1"/>
  <c r="AS77" i="1"/>
  <c r="AS76" i="1"/>
  <c r="AS75" i="1"/>
  <c r="AS74" i="1"/>
  <c r="AS73" i="1"/>
  <c r="AS72" i="1"/>
  <c r="AS71" i="1"/>
  <c r="AS70" i="1"/>
  <c r="AS69" i="1"/>
  <c r="AS68" i="1"/>
  <c r="BN10" i="1" l="1"/>
  <c r="AV92" i="1" s="1"/>
  <c r="BL10" i="1"/>
  <c r="AY83" i="1"/>
  <c r="AX84" i="1" s="1"/>
  <c r="AX85" i="1" s="1"/>
  <c r="AZ83" i="1" s="1"/>
  <c r="AX92" i="1"/>
  <c r="AX93" i="1" s="1"/>
  <c r="AZ91" i="1" s="1"/>
  <c r="AY79" i="1"/>
  <c r="AX80" i="1" s="1"/>
  <c r="AX81" i="1" s="1"/>
  <c r="AZ79" i="1" s="1"/>
  <c r="AX88" i="1"/>
  <c r="AX89" i="1" s="1"/>
  <c r="AZ87" i="1" s="1"/>
  <c r="BY3" i="1"/>
  <c r="BY9" i="1" s="1"/>
  <c r="AD44" i="1"/>
  <c r="AE45" i="1"/>
  <c r="AE44" i="1"/>
  <c r="AC44" i="1"/>
  <c r="Z45" i="1"/>
  <c r="AA45" i="1"/>
  <c r="Z44" i="1"/>
  <c r="AB45" i="1"/>
  <c r="AA44" i="1"/>
  <c r="AC45" i="1"/>
  <c r="AB44" i="1"/>
  <c r="AD45" i="1"/>
  <c r="BE54" i="1"/>
  <c r="BE53" i="1"/>
  <c r="BE52" i="1"/>
  <c r="BE51" i="1"/>
  <c r="BE50" i="1"/>
  <c r="BE49" i="1"/>
  <c r="BE48" i="1"/>
  <c r="BE47" i="1"/>
  <c r="BE46" i="1"/>
  <c r="BE45" i="1"/>
  <c r="BO44" i="1"/>
  <c r="BN44" i="1"/>
  <c r="BM44" i="1"/>
  <c r="BL44" i="1"/>
  <c r="BK44" i="1"/>
  <c r="BJ44" i="1"/>
  <c r="BI44" i="1"/>
  <c r="BH44" i="1"/>
  <c r="BG44" i="1"/>
  <c r="BF44" i="1"/>
  <c r="BE37" i="1"/>
  <c r="BE36" i="1"/>
  <c r="BE35" i="1"/>
  <c r="BE34" i="1"/>
  <c r="BE33" i="1"/>
  <c r="BE32" i="1"/>
  <c r="BE31" i="1"/>
  <c r="BE30" i="1"/>
  <c r="BE29" i="1"/>
  <c r="BE28" i="1"/>
  <c r="BO27" i="1"/>
  <c r="BN27" i="1"/>
  <c r="BM27" i="1"/>
  <c r="BL27" i="1"/>
  <c r="BK27" i="1"/>
  <c r="BJ27" i="1"/>
  <c r="BI27" i="1"/>
  <c r="BH27" i="1"/>
  <c r="BG27" i="1"/>
  <c r="BF27" i="1"/>
  <c r="AS60" i="1"/>
  <c r="AS59" i="1"/>
  <c r="AS58" i="1"/>
  <c r="AS57" i="1"/>
  <c r="AS56" i="1"/>
  <c r="AS55" i="1"/>
  <c r="AS54" i="1"/>
  <c r="AS53" i="1"/>
  <c r="AS52" i="1"/>
  <c r="AS51" i="1"/>
  <c r="BC50" i="1"/>
  <c r="BB50" i="1"/>
  <c r="BA50" i="1"/>
  <c r="AZ50" i="1"/>
  <c r="AY50" i="1"/>
  <c r="AX50" i="1"/>
  <c r="AW50" i="1"/>
  <c r="AV50" i="1"/>
  <c r="AU50" i="1"/>
  <c r="AT50" i="1"/>
  <c r="BA33" i="1"/>
  <c r="BB33" i="1"/>
  <c r="BC33" i="1"/>
  <c r="AT33" i="1"/>
  <c r="AS43" i="1"/>
  <c r="AS42" i="1"/>
  <c r="AS41" i="1"/>
  <c r="AS40" i="1"/>
  <c r="AS39" i="1"/>
  <c r="AS38" i="1"/>
  <c r="AS37" i="1"/>
  <c r="AS36" i="1"/>
  <c r="AS35" i="1"/>
  <c r="AS34" i="1"/>
  <c r="AZ33" i="1"/>
  <c r="AY33" i="1"/>
  <c r="AX33" i="1"/>
  <c r="AW33" i="1"/>
  <c r="AV33" i="1"/>
  <c r="AU33" i="1"/>
  <c r="M100" i="1"/>
  <c r="M99" i="1"/>
  <c r="B59" i="1"/>
  <c r="G83" i="1"/>
  <c r="G82" i="1"/>
  <c r="G81" i="1"/>
  <c r="G80" i="1"/>
  <c r="G79" i="1"/>
  <c r="G78" i="1"/>
  <c r="G77" i="1"/>
  <c r="G68" i="1"/>
  <c r="G67" i="1"/>
  <c r="G66" i="1"/>
  <c r="G65" i="1"/>
  <c r="G64" i="1"/>
  <c r="G63" i="1"/>
  <c r="G62" i="1"/>
  <c r="BH15" i="1" l="1"/>
  <c r="BI15" i="1"/>
  <c r="AU10" i="1"/>
  <c r="AV88" i="1" s="1"/>
  <c r="AS10" i="1"/>
  <c r="AV80" i="1" s="1"/>
  <c r="AT80" i="1" s="1"/>
  <c r="AT81" i="1" s="1"/>
  <c r="AV81" i="1" s="1"/>
  <c r="AY92" i="1"/>
  <c r="AZ92" i="1"/>
  <c r="AZ21" i="1"/>
  <c r="AV84" i="1"/>
  <c r="AZ84" i="1" s="1"/>
  <c r="BA21" i="1"/>
  <c r="BC21" i="1" s="1"/>
  <c r="B62" i="1"/>
  <c r="B77" i="1"/>
  <c r="B86" i="1"/>
  <c r="I6" i="1"/>
  <c r="I4" i="1"/>
  <c r="G34" i="1"/>
  <c r="BB21" i="1" l="1"/>
  <c r="BC13" i="1" s="1"/>
  <c r="AY84" i="1"/>
  <c r="AT84" i="1"/>
  <c r="AT85" i="1" s="1"/>
  <c r="AV85" i="1" s="1"/>
  <c r="AZ85" i="1" s="1"/>
  <c r="AZ80" i="1"/>
  <c r="AY80" i="1"/>
  <c r="AT92" i="1"/>
  <c r="AT93" i="1" s="1"/>
  <c r="AV93" i="1" s="1"/>
  <c r="AT88" i="1"/>
  <c r="AT89" i="1" s="1"/>
  <c r="AV89" i="1" s="1"/>
  <c r="AY88" i="1"/>
  <c r="AZ88" i="1"/>
  <c r="AZ81" i="1"/>
  <c r="AY81" i="1"/>
  <c r="I5" i="1"/>
  <c r="W6" i="1"/>
  <c r="W5" i="1"/>
  <c r="AS79" i="1" l="1"/>
  <c r="AY13" i="1" s="1"/>
  <c r="AZ93" i="1"/>
  <c r="AY93" i="1"/>
  <c r="AY85" i="1"/>
  <c r="AS83" i="1" s="1"/>
  <c r="AY89" i="1"/>
  <c r="AZ89" i="1"/>
  <c r="I3" i="1"/>
  <c r="BM11" i="1" l="1"/>
  <c r="BO12" i="1"/>
  <c r="BO13" i="1" s="1"/>
  <c r="BO11" i="1" s="1"/>
  <c r="AY14" i="1"/>
  <c r="BA11" i="1"/>
  <c r="BC11" i="1" s="1"/>
  <c r="BA14" i="1" s="1"/>
  <c r="BC14" i="1" s="1"/>
  <c r="AS87" i="1"/>
  <c r="AS91" i="1"/>
  <c r="N19" i="1"/>
  <c r="N20" i="1"/>
  <c r="Q20" i="1"/>
  <c r="W10" i="1"/>
  <c r="S58" i="1" s="1"/>
  <c r="Q58" i="1" s="1"/>
  <c r="I10" i="1" l="1"/>
  <c r="P20" i="1"/>
  <c r="O20" i="1"/>
  <c r="M20" i="1"/>
  <c r="L20" i="1"/>
  <c r="M19" i="1"/>
  <c r="L19" i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G17" i="2" s="1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3" i="2"/>
  <c r="BC8" i="1" l="1"/>
  <c r="G10" i="1"/>
  <c r="H10" i="1"/>
  <c r="H3" i="2"/>
  <c r="J177" i="2"/>
  <c r="H177" i="2"/>
  <c r="G177" i="2"/>
  <c r="E177" i="2"/>
  <c r="J176" i="2"/>
  <c r="H176" i="2"/>
  <c r="G176" i="2"/>
  <c r="E176" i="2"/>
  <c r="J175" i="2"/>
  <c r="H175" i="2"/>
  <c r="G175" i="2"/>
  <c r="E175" i="2"/>
  <c r="J174" i="2"/>
  <c r="H174" i="2"/>
  <c r="G174" i="2"/>
  <c r="E174" i="2"/>
  <c r="J173" i="2"/>
  <c r="H173" i="2"/>
  <c r="G173" i="2"/>
  <c r="E173" i="2"/>
  <c r="J172" i="2"/>
  <c r="H172" i="2"/>
  <c r="G172" i="2"/>
  <c r="E172" i="2"/>
  <c r="J171" i="2"/>
  <c r="H171" i="2"/>
  <c r="G171" i="2"/>
  <c r="E171" i="2"/>
  <c r="J170" i="2"/>
  <c r="H170" i="2"/>
  <c r="G170" i="2"/>
  <c r="E170" i="2"/>
  <c r="J169" i="2"/>
  <c r="H169" i="2"/>
  <c r="G169" i="2"/>
  <c r="E169" i="2"/>
  <c r="J168" i="2"/>
  <c r="H168" i="2"/>
  <c r="G168" i="2"/>
  <c r="E168" i="2"/>
  <c r="J167" i="2"/>
  <c r="H167" i="2"/>
  <c r="G167" i="2"/>
  <c r="E167" i="2"/>
  <c r="J166" i="2"/>
  <c r="H166" i="2"/>
  <c r="G166" i="2"/>
  <c r="E166" i="2"/>
  <c r="J165" i="2"/>
  <c r="H165" i="2"/>
  <c r="G165" i="2"/>
  <c r="E165" i="2"/>
  <c r="J164" i="2"/>
  <c r="H164" i="2"/>
  <c r="G164" i="2"/>
  <c r="E164" i="2"/>
  <c r="J163" i="2"/>
  <c r="H163" i="2"/>
  <c r="G163" i="2"/>
  <c r="E163" i="2"/>
  <c r="J162" i="2"/>
  <c r="H162" i="2"/>
  <c r="G162" i="2"/>
  <c r="E162" i="2"/>
  <c r="J161" i="2"/>
  <c r="H161" i="2"/>
  <c r="G161" i="2"/>
  <c r="E161" i="2"/>
  <c r="J160" i="2"/>
  <c r="H160" i="2"/>
  <c r="G160" i="2"/>
  <c r="E160" i="2"/>
  <c r="J159" i="2"/>
  <c r="H159" i="2"/>
  <c r="G159" i="2"/>
  <c r="E159" i="2"/>
  <c r="J158" i="2"/>
  <c r="H158" i="2"/>
  <c r="G158" i="2"/>
  <c r="E158" i="2"/>
  <c r="J157" i="2"/>
  <c r="H157" i="2"/>
  <c r="G157" i="2"/>
  <c r="E157" i="2"/>
  <c r="J156" i="2"/>
  <c r="H156" i="2"/>
  <c r="G156" i="2"/>
  <c r="E156" i="2"/>
  <c r="J155" i="2"/>
  <c r="H155" i="2"/>
  <c r="G155" i="2"/>
  <c r="E155" i="2"/>
  <c r="J154" i="2"/>
  <c r="H154" i="2"/>
  <c r="G154" i="2"/>
  <c r="E154" i="2"/>
  <c r="J153" i="2"/>
  <c r="H153" i="2"/>
  <c r="G153" i="2"/>
  <c r="E153" i="2"/>
  <c r="J152" i="2"/>
  <c r="H152" i="2"/>
  <c r="G152" i="2"/>
  <c r="E152" i="2"/>
  <c r="J151" i="2"/>
  <c r="H151" i="2"/>
  <c r="G151" i="2"/>
  <c r="E151" i="2"/>
  <c r="J150" i="2"/>
  <c r="H150" i="2"/>
  <c r="G150" i="2"/>
  <c r="E150" i="2"/>
  <c r="J149" i="2"/>
  <c r="H149" i="2"/>
  <c r="G149" i="2"/>
  <c r="E149" i="2"/>
  <c r="J148" i="2"/>
  <c r="H148" i="2"/>
  <c r="G148" i="2"/>
  <c r="E148" i="2"/>
  <c r="J147" i="2"/>
  <c r="H147" i="2"/>
  <c r="G147" i="2"/>
  <c r="E147" i="2"/>
  <c r="J146" i="2"/>
  <c r="H146" i="2"/>
  <c r="G146" i="2"/>
  <c r="E146" i="2"/>
  <c r="J145" i="2"/>
  <c r="H145" i="2"/>
  <c r="G145" i="2"/>
  <c r="E145" i="2"/>
  <c r="J144" i="2"/>
  <c r="H144" i="2"/>
  <c r="G144" i="2"/>
  <c r="E144" i="2"/>
  <c r="J143" i="2"/>
  <c r="H143" i="2"/>
  <c r="G143" i="2"/>
  <c r="E143" i="2"/>
  <c r="J142" i="2"/>
  <c r="H142" i="2"/>
  <c r="G142" i="2"/>
  <c r="E142" i="2"/>
  <c r="J141" i="2"/>
  <c r="H141" i="2"/>
  <c r="G141" i="2"/>
  <c r="E141" i="2"/>
  <c r="J140" i="2"/>
  <c r="H140" i="2"/>
  <c r="G140" i="2"/>
  <c r="E140" i="2"/>
  <c r="J139" i="2"/>
  <c r="H139" i="2"/>
  <c r="G139" i="2"/>
  <c r="E139" i="2"/>
  <c r="J138" i="2"/>
  <c r="H138" i="2"/>
  <c r="G138" i="2"/>
  <c r="E138" i="2"/>
  <c r="J137" i="2"/>
  <c r="H137" i="2"/>
  <c r="G137" i="2"/>
  <c r="E137" i="2"/>
  <c r="J136" i="2"/>
  <c r="H136" i="2"/>
  <c r="G136" i="2"/>
  <c r="E136" i="2"/>
  <c r="J135" i="2"/>
  <c r="H135" i="2"/>
  <c r="G135" i="2"/>
  <c r="E135" i="2"/>
  <c r="J134" i="2"/>
  <c r="H134" i="2"/>
  <c r="G134" i="2"/>
  <c r="E134" i="2"/>
  <c r="J133" i="2"/>
  <c r="H133" i="2"/>
  <c r="G133" i="2"/>
  <c r="E133" i="2"/>
  <c r="J132" i="2"/>
  <c r="H132" i="2"/>
  <c r="G132" i="2"/>
  <c r="E132" i="2"/>
  <c r="J131" i="2"/>
  <c r="H131" i="2"/>
  <c r="G131" i="2"/>
  <c r="E131" i="2"/>
  <c r="J130" i="2"/>
  <c r="H130" i="2"/>
  <c r="G130" i="2"/>
  <c r="E130" i="2"/>
  <c r="J129" i="2"/>
  <c r="H129" i="2"/>
  <c r="G129" i="2"/>
  <c r="E129" i="2"/>
  <c r="J128" i="2"/>
  <c r="H128" i="2"/>
  <c r="G128" i="2"/>
  <c r="E128" i="2"/>
  <c r="J127" i="2"/>
  <c r="H127" i="2"/>
  <c r="G127" i="2"/>
  <c r="E127" i="2"/>
  <c r="J126" i="2"/>
  <c r="H126" i="2"/>
  <c r="G126" i="2"/>
  <c r="E126" i="2"/>
  <c r="J125" i="2"/>
  <c r="H125" i="2"/>
  <c r="G125" i="2"/>
  <c r="E125" i="2"/>
  <c r="J124" i="2"/>
  <c r="H124" i="2"/>
  <c r="G124" i="2"/>
  <c r="E124" i="2"/>
  <c r="J123" i="2"/>
  <c r="H123" i="2"/>
  <c r="G123" i="2"/>
  <c r="E123" i="2"/>
  <c r="J122" i="2"/>
  <c r="H122" i="2"/>
  <c r="G122" i="2"/>
  <c r="E122" i="2"/>
  <c r="J121" i="2"/>
  <c r="H121" i="2"/>
  <c r="G121" i="2"/>
  <c r="E121" i="2"/>
  <c r="J120" i="2"/>
  <c r="H120" i="2"/>
  <c r="G120" i="2"/>
  <c r="E120" i="2"/>
  <c r="J119" i="2"/>
  <c r="H119" i="2"/>
  <c r="G119" i="2"/>
  <c r="E119" i="2"/>
  <c r="J118" i="2"/>
  <c r="H118" i="2"/>
  <c r="G118" i="2"/>
  <c r="E118" i="2"/>
  <c r="J117" i="2"/>
  <c r="H117" i="2"/>
  <c r="G117" i="2"/>
  <c r="E117" i="2"/>
  <c r="J116" i="2"/>
  <c r="H116" i="2"/>
  <c r="G116" i="2"/>
  <c r="E116" i="2"/>
  <c r="J115" i="2"/>
  <c r="H115" i="2"/>
  <c r="G115" i="2"/>
  <c r="E115" i="2"/>
  <c r="J114" i="2"/>
  <c r="H114" i="2"/>
  <c r="G114" i="2"/>
  <c r="E114" i="2"/>
  <c r="J113" i="2"/>
  <c r="H113" i="2"/>
  <c r="G113" i="2"/>
  <c r="E113" i="2"/>
  <c r="J112" i="2"/>
  <c r="H112" i="2"/>
  <c r="G112" i="2"/>
  <c r="E112" i="2"/>
  <c r="J111" i="2"/>
  <c r="H111" i="2"/>
  <c r="G111" i="2"/>
  <c r="E111" i="2"/>
  <c r="J110" i="2"/>
  <c r="H110" i="2"/>
  <c r="G110" i="2"/>
  <c r="E110" i="2"/>
  <c r="J109" i="2"/>
  <c r="H109" i="2"/>
  <c r="G109" i="2"/>
  <c r="E109" i="2"/>
  <c r="J108" i="2"/>
  <c r="H108" i="2"/>
  <c r="G108" i="2"/>
  <c r="E108" i="2"/>
  <c r="J107" i="2"/>
  <c r="H107" i="2"/>
  <c r="G107" i="2"/>
  <c r="E107" i="2"/>
  <c r="J106" i="2"/>
  <c r="H106" i="2"/>
  <c r="G106" i="2"/>
  <c r="E106" i="2"/>
  <c r="J105" i="2"/>
  <c r="H105" i="2"/>
  <c r="G105" i="2"/>
  <c r="E105" i="2"/>
  <c r="J104" i="2"/>
  <c r="H104" i="2"/>
  <c r="G104" i="2"/>
  <c r="E104" i="2"/>
  <c r="J103" i="2"/>
  <c r="H103" i="2"/>
  <c r="G103" i="2"/>
  <c r="E103" i="2"/>
  <c r="J102" i="2"/>
  <c r="H102" i="2"/>
  <c r="G102" i="2"/>
  <c r="E102" i="2"/>
  <c r="J101" i="2"/>
  <c r="H101" i="2"/>
  <c r="G101" i="2"/>
  <c r="E101" i="2"/>
  <c r="J100" i="2"/>
  <c r="H100" i="2"/>
  <c r="G100" i="2"/>
  <c r="E100" i="2"/>
  <c r="J99" i="2"/>
  <c r="H99" i="2"/>
  <c r="G99" i="2"/>
  <c r="E99" i="2"/>
  <c r="J98" i="2"/>
  <c r="H98" i="2"/>
  <c r="G98" i="2"/>
  <c r="E98" i="2"/>
  <c r="J97" i="2"/>
  <c r="H97" i="2"/>
  <c r="G97" i="2"/>
  <c r="E97" i="2"/>
  <c r="J96" i="2"/>
  <c r="H96" i="2"/>
  <c r="G96" i="2"/>
  <c r="E96" i="2"/>
  <c r="J95" i="2"/>
  <c r="H95" i="2"/>
  <c r="G95" i="2"/>
  <c r="E95" i="2"/>
  <c r="J94" i="2"/>
  <c r="H94" i="2"/>
  <c r="G94" i="2"/>
  <c r="E94" i="2"/>
  <c r="J93" i="2"/>
  <c r="H93" i="2"/>
  <c r="G93" i="2"/>
  <c r="E93" i="2"/>
  <c r="J92" i="2"/>
  <c r="H92" i="2"/>
  <c r="G92" i="2"/>
  <c r="E92" i="2"/>
  <c r="J91" i="2"/>
  <c r="H91" i="2"/>
  <c r="G91" i="2"/>
  <c r="E91" i="2"/>
  <c r="J90" i="2"/>
  <c r="H90" i="2"/>
  <c r="G90" i="2"/>
  <c r="E90" i="2"/>
  <c r="J89" i="2"/>
  <c r="H89" i="2"/>
  <c r="G89" i="2"/>
  <c r="E89" i="2"/>
  <c r="J88" i="2"/>
  <c r="H88" i="2"/>
  <c r="G88" i="2"/>
  <c r="E88" i="2"/>
  <c r="J87" i="2"/>
  <c r="H87" i="2"/>
  <c r="G87" i="2"/>
  <c r="E87" i="2"/>
  <c r="J86" i="2"/>
  <c r="H86" i="2"/>
  <c r="G86" i="2"/>
  <c r="E86" i="2"/>
  <c r="J85" i="2"/>
  <c r="H85" i="2"/>
  <c r="G85" i="2"/>
  <c r="E85" i="2"/>
  <c r="J84" i="2"/>
  <c r="H84" i="2"/>
  <c r="G84" i="2"/>
  <c r="E84" i="2"/>
  <c r="J83" i="2"/>
  <c r="H83" i="2"/>
  <c r="G83" i="2"/>
  <c r="E83" i="2"/>
  <c r="J82" i="2"/>
  <c r="H82" i="2"/>
  <c r="G82" i="2"/>
  <c r="E82" i="2"/>
  <c r="J81" i="2"/>
  <c r="H81" i="2"/>
  <c r="G81" i="2"/>
  <c r="E81" i="2"/>
  <c r="J80" i="2"/>
  <c r="H80" i="2"/>
  <c r="G80" i="2"/>
  <c r="E80" i="2"/>
  <c r="J79" i="2"/>
  <c r="H79" i="2"/>
  <c r="G79" i="2"/>
  <c r="E79" i="2"/>
  <c r="J78" i="2"/>
  <c r="H78" i="2"/>
  <c r="G78" i="2"/>
  <c r="E78" i="2"/>
  <c r="J77" i="2"/>
  <c r="H77" i="2"/>
  <c r="G77" i="2"/>
  <c r="E77" i="2"/>
  <c r="J76" i="2"/>
  <c r="H76" i="2"/>
  <c r="G76" i="2"/>
  <c r="E76" i="2"/>
  <c r="J75" i="2"/>
  <c r="H75" i="2"/>
  <c r="G75" i="2"/>
  <c r="E75" i="2"/>
  <c r="J74" i="2"/>
  <c r="H74" i="2"/>
  <c r="G74" i="2"/>
  <c r="E74" i="2"/>
  <c r="J73" i="2"/>
  <c r="H73" i="2"/>
  <c r="G73" i="2"/>
  <c r="E73" i="2"/>
  <c r="J72" i="2"/>
  <c r="H72" i="2"/>
  <c r="G72" i="2"/>
  <c r="E72" i="2"/>
  <c r="J71" i="2"/>
  <c r="H71" i="2"/>
  <c r="G71" i="2"/>
  <c r="E71" i="2"/>
  <c r="J70" i="2"/>
  <c r="H70" i="2"/>
  <c r="G70" i="2"/>
  <c r="E70" i="2"/>
  <c r="J69" i="2"/>
  <c r="H69" i="2"/>
  <c r="G69" i="2"/>
  <c r="E69" i="2"/>
  <c r="J68" i="2"/>
  <c r="H68" i="2"/>
  <c r="G68" i="2"/>
  <c r="E68" i="2"/>
  <c r="J67" i="2"/>
  <c r="H67" i="2"/>
  <c r="G67" i="2"/>
  <c r="E67" i="2"/>
  <c r="J66" i="2"/>
  <c r="H66" i="2"/>
  <c r="G66" i="2"/>
  <c r="E66" i="2"/>
  <c r="J65" i="2"/>
  <c r="H65" i="2"/>
  <c r="G65" i="2"/>
  <c r="E65" i="2"/>
  <c r="J64" i="2"/>
  <c r="H64" i="2"/>
  <c r="G64" i="2"/>
  <c r="E64" i="2"/>
  <c r="J63" i="2"/>
  <c r="H63" i="2"/>
  <c r="G63" i="2"/>
  <c r="E63" i="2"/>
  <c r="J62" i="2"/>
  <c r="H62" i="2"/>
  <c r="G62" i="2"/>
  <c r="E62" i="2"/>
  <c r="J61" i="2"/>
  <c r="H61" i="2"/>
  <c r="G61" i="2"/>
  <c r="E61" i="2"/>
  <c r="J60" i="2"/>
  <c r="H60" i="2"/>
  <c r="G60" i="2"/>
  <c r="E60" i="2"/>
  <c r="J59" i="2"/>
  <c r="H59" i="2"/>
  <c r="G59" i="2"/>
  <c r="E59" i="2"/>
  <c r="J58" i="2"/>
  <c r="H58" i="2"/>
  <c r="G58" i="2"/>
  <c r="E58" i="2"/>
  <c r="J57" i="2"/>
  <c r="H57" i="2"/>
  <c r="G57" i="2"/>
  <c r="E57" i="2"/>
  <c r="J56" i="2"/>
  <c r="H56" i="2"/>
  <c r="G56" i="2"/>
  <c r="E56" i="2"/>
  <c r="J55" i="2"/>
  <c r="H55" i="2"/>
  <c r="G55" i="2"/>
  <c r="E55" i="2"/>
  <c r="J54" i="2"/>
  <c r="H54" i="2"/>
  <c r="G54" i="2"/>
  <c r="E54" i="2"/>
  <c r="J53" i="2"/>
  <c r="H53" i="2"/>
  <c r="G53" i="2"/>
  <c r="E53" i="2"/>
  <c r="J52" i="2"/>
  <c r="H52" i="2"/>
  <c r="G52" i="2"/>
  <c r="E52" i="2"/>
  <c r="J51" i="2"/>
  <c r="H51" i="2"/>
  <c r="G51" i="2"/>
  <c r="E51" i="2"/>
  <c r="J50" i="2"/>
  <c r="H50" i="2"/>
  <c r="G50" i="2"/>
  <c r="E50" i="2"/>
  <c r="J49" i="2"/>
  <c r="H49" i="2"/>
  <c r="G49" i="2"/>
  <c r="E49" i="2"/>
  <c r="J48" i="2"/>
  <c r="H48" i="2"/>
  <c r="G48" i="2"/>
  <c r="E48" i="2"/>
  <c r="J47" i="2"/>
  <c r="H47" i="2"/>
  <c r="G47" i="2"/>
  <c r="E47" i="2"/>
  <c r="J46" i="2"/>
  <c r="H46" i="2"/>
  <c r="G46" i="2"/>
  <c r="E46" i="2"/>
  <c r="J45" i="2"/>
  <c r="H45" i="2"/>
  <c r="G45" i="2"/>
  <c r="E45" i="2"/>
  <c r="J44" i="2"/>
  <c r="H44" i="2"/>
  <c r="G44" i="2"/>
  <c r="E44" i="2"/>
  <c r="J43" i="2"/>
  <c r="H43" i="2"/>
  <c r="G43" i="2"/>
  <c r="E43" i="2"/>
  <c r="J42" i="2"/>
  <c r="H42" i="2"/>
  <c r="G42" i="2"/>
  <c r="E42" i="2"/>
  <c r="J41" i="2"/>
  <c r="H41" i="2"/>
  <c r="G41" i="2"/>
  <c r="E41" i="2"/>
  <c r="J40" i="2"/>
  <c r="H40" i="2"/>
  <c r="G40" i="2"/>
  <c r="E40" i="2"/>
  <c r="J39" i="2"/>
  <c r="H39" i="2"/>
  <c r="G39" i="2"/>
  <c r="E39" i="2"/>
  <c r="J38" i="2"/>
  <c r="H38" i="2"/>
  <c r="G38" i="2"/>
  <c r="E38" i="2"/>
  <c r="J37" i="2"/>
  <c r="H37" i="2"/>
  <c r="G37" i="2"/>
  <c r="E37" i="2"/>
  <c r="J36" i="2"/>
  <c r="H36" i="2"/>
  <c r="G36" i="2"/>
  <c r="E36" i="2"/>
  <c r="J35" i="2"/>
  <c r="H35" i="2"/>
  <c r="G35" i="2"/>
  <c r="E35" i="2"/>
  <c r="J34" i="2"/>
  <c r="H34" i="2"/>
  <c r="G34" i="2"/>
  <c r="E34" i="2"/>
  <c r="J33" i="2"/>
  <c r="H33" i="2"/>
  <c r="G33" i="2"/>
  <c r="E33" i="2"/>
  <c r="J32" i="2"/>
  <c r="H32" i="2"/>
  <c r="G32" i="2"/>
  <c r="E32" i="2"/>
  <c r="J31" i="2"/>
  <c r="H31" i="2"/>
  <c r="G31" i="2"/>
  <c r="E31" i="2"/>
  <c r="J30" i="2"/>
  <c r="H30" i="2"/>
  <c r="G30" i="2"/>
  <c r="E30" i="2"/>
  <c r="J29" i="2"/>
  <c r="H29" i="2"/>
  <c r="G29" i="2"/>
  <c r="E29" i="2"/>
  <c r="J28" i="2"/>
  <c r="H28" i="2"/>
  <c r="G28" i="2"/>
  <c r="E28" i="2"/>
  <c r="J27" i="2"/>
  <c r="H27" i="2"/>
  <c r="G27" i="2"/>
  <c r="E27" i="2"/>
  <c r="J26" i="2"/>
  <c r="H26" i="2"/>
  <c r="G26" i="2"/>
  <c r="E26" i="2"/>
  <c r="J25" i="2"/>
  <c r="H25" i="2"/>
  <c r="G25" i="2"/>
  <c r="E25" i="2"/>
  <c r="J24" i="2"/>
  <c r="H24" i="2"/>
  <c r="G24" i="2"/>
  <c r="E24" i="2"/>
  <c r="J23" i="2"/>
  <c r="H23" i="2"/>
  <c r="G23" i="2"/>
  <c r="E23" i="2"/>
  <c r="J22" i="2"/>
  <c r="H22" i="2"/>
  <c r="G22" i="2"/>
  <c r="E22" i="2"/>
  <c r="J21" i="2"/>
  <c r="H21" i="2"/>
  <c r="G21" i="2"/>
  <c r="E21" i="2"/>
  <c r="J20" i="2"/>
  <c r="H20" i="2"/>
  <c r="G20" i="2"/>
  <c r="E20" i="2"/>
  <c r="J19" i="2"/>
  <c r="H19" i="2"/>
  <c r="G19" i="2"/>
  <c r="E19" i="2"/>
  <c r="J18" i="2"/>
  <c r="H18" i="2"/>
  <c r="G18" i="2"/>
  <c r="E18" i="2"/>
  <c r="J17" i="2"/>
  <c r="H17" i="2"/>
  <c r="E17" i="2"/>
  <c r="J16" i="2"/>
  <c r="H16" i="2"/>
  <c r="G16" i="2"/>
  <c r="E16" i="2"/>
  <c r="J15" i="2"/>
  <c r="H15" i="2"/>
  <c r="G15" i="2"/>
  <c r="E15" i="2"/>
  <c r="J14" i="2"/>
  <c r="H14" i="2"/>
  <c r="G14" i="2"/>
  <c r="E14" i="2"/>
  <c r="J13" i="2"/>
  <c r="H13" i="2"/>
  <c r="G13" i="2"/>
  <c r="E13" i="2"/>
  <c r="J12" i="2"/>
  <c r="H12" i="2"/>
  <c r="G12" i="2"/>
  <c r="E12" i="2"/>
  <c r="J11" i="2"/>
  <c r="H11" i="2"/>
  <c r="G11" i="2"/>
  <c r="E11" i="2"/>
  <c r="J10" i="2"/>
  <c r="H10" i="2"/>
  <c r="G10" i="2"/>
  <c r="E10" i="2"/>
  <c r="J9" i="2"/>
  <c r="H9" i="2"/>
  <c r="G9" i="2"/>
  <c r="E9" i="2"/>
  <c r="J8" i="2"/>
  <c r="H8" i="2"/>
  <c r="G8" i="2"/>
  <c r="E8" i="2"/>
  <c r="J7" i="2"/>
  <c r="H7" i="2"/>
  <c r="G7" i="2"/>
  <c r="E7" i="2"/>
  <c r="J6" i="2"/>
  <c r="H6" i="2"/>
  <c r="G6" i="2"/>
  <c r="E6" i="2"/>
  <c r="J5" i="2"/>
  <c r="H5" i="2"/>
  <c r="G5" i="2"/>
  <c r="E5" i="2"/>
  <c r="J4" i="2"/>
  <c r="H4" i="2"/>
  <c r="G4" i="2"/>
  <c r="E4" i="2"/>
  <c r="J3" i="2"/>
  <c r="E3" i="2"/>
  <c r="K4" i="2" l="1"/>
  <c r="K8" i="2"/>
  <c r="K10" i="2"/>
  <c r="K12" i="2"/>
  <c r="K14" i="2"/>
  <c r="K16" i="2"/>
  <c r="K18" i="2"/>
  <c r="K20" i="2"/>
  <c r="K9" i="2"/>
  <c r="K5" i="2"/>
  <c r="L4" i="2" s="1"/>
  <c r="K11" i="2"/>
  <c r="K22" i="2"/>
  <c r="G3" i="2"/>
  <c r="K3" i="2" s="1"/>
  <c r="K24" i="2"/>
  <c r="K26" i="2"/>
  <c r="K28" i="2"/>
  <c r="K30" i="2"/>
  <c r="K32" i="2"/>
  <c r="K34" i="2"/>
  <c r="K36" i="2"/>
  <c r="K38" i="2"/>
  <c r="K40" i="2"/>
  <c r="K42" i="2"/>
  <c r="K44" i="2"/>
  <c r="K46" i="2"/>
  <c r="K48" i="2"/>
  <c r="K50" i="2"/>
  <c r="K52" i="2"/>
  <c r="K54" i="2"/>
  <c r="K56" i="2"/>
  <c r="K58" i="2"/>
  <c r="K60" i="2"/>
  <c r="K62" i="2"/>
  <c r="K64" i="2"/>
  <c r="K66" i="2"/>
  <c r="K68" i="2"/>
  <c r="K70" i="2"/>
  <c r="K72" i="2"/>
  <c r="K74" i="2"/>
  <c r="K76" i="2"/>
  <c r="K78" i="2"/>
  <c r="K80" i="2"/>
  <c r="K82" i="2"/>
  <c r="K84" i="2"/>
  <c r="K86" i="2"/>
  <c r="K88" i="2"/>
  <c r="K90" i="2"/>
  <c r="K92" i="2"/>
  <c r="K94" i="2"/>
  <c r="K96" i="2"/>
  <c r="K98" i="2"/>
  <c r="K100" i="2"/>
  <c r="K102" i="2"/>
  <c r="K104" i="2"/>
  <c r="K106" i="2"/>
  <c r="L106" i="2" s="1"/>
  <c r="K108" i="2"/>
  <c r="K110" i="2"/>
  <c r="K112" i="2"/>
  <c r="K114" i="2"/>
  <c r="K116" i="2"/>
  <c r="K118" i="2"/>
  <c r="K120" i="2"/>
  <c r="K122" i="2"/>
  <c r="K124" i="2"/>
  <c r="K126" i="2"/>
  <c r="K128" i="2"/>
  <c r="K130" i="2"/>
  <c r="K132" i="2"/>
  <c r="K134" i="2"/>
  <c r="K136" i="2"/>
  <c r="K138" i="2"/>
  <c r="K140" i="2"/>
  <c r="K142" i="2"/>
  <c r="K144" i="2"/>
  <c r="K146" i="2"/>
  <c r="K148" i="2"/>
  <c r="K150" i="2"/>
  <c r="K152" i="2"/>
  <c r="K154" i="2"/>
  <c r="K6" i="2"/>
  <c r="K17" i="2"/>
  <c r="K19" i="2"/>
  <c r="K21" i="2"/>
  <c r="K25" i="2"/>
  <c r="K27" i="2"/>
  <c r="K29" i="2"/>
  <c r="K31" i="2"/>
  <c r="K33" i="2"/>
  <c r="K35" i="2"/>
  <c r="K37" i="2"/>
  <c r="K39" i="2"/>
  <c r="K41" i="2"/>
  <c r="K43" i="2"/>
  <c r="K45" i="2"/>
  <c r="K47" i="2"/>
  <c r="L46" i="2" s="1"/>
  <c r="K49" i="2"/>
  <c r="K51" i="2"/>
  <c r="K53" i="2"/>
  <c r="K55" i="2"/>
  <c r="K57" i="2"/>
  <c r="K59" i="2"/>
  <c r="K61" i="2"/>
  <c r="K63" i="2"/>
  <c r="K65" i="2"/>
  <c r="K67" i="2"/>
  <c r="K69" i="2"/>
  <c r="K71" i="2"/>
  <c r="K73" i="2"/>
  <c r="K75" i="2"/>
  <c r="K77" i="2"/>
  <c r="K79" i="2"/>
  <c r="K81" i="2"/>
  <c r="K83" i="2"/>
  <c r="L82" i="2" s="1"/>
  <c r="K85" i="2"/>
  <c r="K87" i="2"/>
  <c r="K89" i="2"/>
  <c r="K91" i="2"/>
  <c r="K93" i="2"/>
  <c r="K95" i="2"/>
  <c r="K97" i="2"/>
  <c r="K99" i="2"/>
  <c r="K101" i="2"/>
  <c r="K103" i="2"/>
  <c r="K105" i="2"/>
  <c r="L104" i="2" s="1"/>
  <c r="K107" i="2"/>
  <c r="K109" i="2"/>
  <c r="K111" i="2"/>
  <c r="K113" i="2"/>
  <c r="K115" i="2"/>
  <c r="K117" i="2"/>
  <c r="K119" i="2"/>
  <c r="K121" i="2"/>
  <c r="K123" i="2"/>
  <c r="K125" i="2"/>
  <c r="K127" i="2"/>
  <c r="L126" i="2" s="1"/>
  <c r="K129" i="2"/>
  <c r="K131" i="2"/>
  <c r="K133" i="2"/>
  <c r="K135" i="2"/>
  <c r="K137" i="2"/>
  <c r="K139" i="2"/>
  <c r="K141" i="2"/>
  <c r="K143" i="2"/>
  <c r="K145" i="2"/>
  <c r="K147" i="2"/>
  <c r="L146" i="2" s="1"/>
  <c r="K149" i="2"/>
  <c r="K153" i="2"/>
  <c r="K156" i="2"/>
  <c r="K158" i="2"/>
  <c r="K160" i="2"/>
  <c r="K162" i="2"/>
  <c r="K164" i="2"/>
  <c r="K166" i="2"/>
  <c r="K168" i="2"/>
  <c r="K170" i="2"/>
  <c r="K172" i="2"/>
  <c r="K174" i="2"/>
  <c r="K176" i="2"/>
  <c r="K7" i="2"/>
  <c r="K23" i="2"/>
  <c r="L22" i="2" s="1"/>
  <c r="K151" i="2"/>
  <c r="K155" i="2"/>
  <c r="K157" i="2"/>
  <c r="K159" i="2"/>
  <c r="K161" i="2"/>
  <c r="K163" i="2"/>
  <c r="K165" i="2"/>
  <c r="K167" i="2"/>
  <c r="K169" i="2"/>
  <c r="K171" i="2"/>
  <c r="K173" i="2"/>
  <c r="K175" i="2"/>
  <c r="K177" i="2"/>
  <c r="K13" i="2"/>
  <c r="L13" i="2" s="1"/>
  <c r="K15" i="2"/>
  <c r="L14" i="2" s="1"/>
  <c r="L10" i="2"/>
  <c r="L11" i="2"/>
  <c r="L56" i="2" l="1"/>
  <c r="L24" i="2"/>
  <c r="L164" i="2"/>
  <c r="L40" i="2"/>
  <c r="L88" i="2"/>
  <c r="L100" i="2"/>
  <c r="L20" i="2"/>
  <c r="L72" i="2"/>
  <c r="L68" i="2"/>
  <c r="L36" i="2"/>
  <c r="L18" i="2"/>
  <c r="L112" i="2"/>
  <c r="L168" i="2"/>
  <c r="L151" i="2"/>
  <c r="L166" i="2"/>
  <c r="L141" i="2"/>
  <c r="L125" i="2"/>
  <c r="L19" i="2"/>
  <c r="L17" i="2"/>
  <c r="L62" i="2"/>
  <c r="L30" i="2"/>
  <c r="L8" i="2"/>
  <c r="L144" i="2"/>
  <c r="L128" i="2"/>
  <c r="L96" i="2"/>
  <c r="L80" i="2"/>
  <c r="L64" i="2"/>
  <c r="L48" i="2"/>
  <c r="L32" i="2"/>
  <c r="L5" i="2"/>
  <c r="L139" i="2"/>
  <c r="L123" i="2"/>
  <c r="L107" i="2"/>
  <c r="L91" i="2"/>
  <c r="L75" i="2"/>
  <c r="L59" i="2"/>
  <c r="L43" i="2"/>
  <c r="L27" i="2"/>
  <c r="L7" i="2"/>
  <c r="L176" i="2"/>
  <c r="L160" i="2"/>
  <c r="L174" i="2"/>
  <c r="L122" i="2"/>
  <c r="L3" i="2"/>
  <c r="L12" i="2"/>
  <c r="L16" i="2"/>
  <c r="L9" i="2"/>
  <c r="L120" i="2"/>
  <c r="L150" i="2"/>
  <c r="L156" i="2"/>
  <c r="L152" i="2"/>
  <c r="L142" i="2"/>
  <c r="L94" i="2"/>
  <c r="L78" i="2"/>
  <c r="L138" i="2"/>
  <c r="L58" i="2"/>
  <c r="L42" i="2"/>
  <c r="L26" i="2"/>
  <c r="L25" i="2"/>
  <c r="L170" i="2"/>
  <c r="L167" i="2"/>
  <c r="L127" i="2"/>
  <c r="L137" i="2"/>
  <c r="L134" i="2"/>
  <c r="L118" i="2"/>
  <c r="L102" i="2"/>
  <c r="L86" i="2"/>
  <c r="L70" i="2"/>
  <c r="L54" i="2"/>
  <c r="L38" i="2"/>
  <c r="L130" i="2"/>
  <c r="L114" i="2"/>
  <c r="L98" i="2"/>
  <c r="L66" i="2"/>
  <c r="L50" i="2"/>
  <c r="L34" i="2"/>
  <c r="L172" i="2"/>
  <c r="L110" i="2"/>
  <c r="L162" i="2"/>
  <c r="L117" i="2"/>
  <c r="L158" i="2"/>
  <c r="L129" i="2"/>
  <c r="L140" i="2"/>
  <c r="L153" i="2"/>
  <c r="L121" i="2"/>
  <c r="L74" i="2"/>
  <c r="L163" i="2"/>
  <c r="L21" i="2"/>
  <c r="L119" i="2"/>
  <c r="L148" i="2"/>
  <c r="L131" i="2"/>
  <c r="L115" i="2"/>
  <c r="L99" i="2"/>
  <c r="L83" i="2"/>
  <c r="L67" i="2"/>
  <c r="L51" i="2"/>
  <c r="L35" i="2"/>
  <c r="L89" i="2"/>
  <c r="L132" i="2"/>
  <c r="L44" i="2"/>
  <c r="L173" i="2"/>
  <c r="L149" i="2"/>
  <c r="L133" i="2"/>
  <c r="L101" i="2"/>
  <c r="L85" i="2"/>
  <c r="L69" i="2"/>
  <c r="L53" i="2"/>
  <c r="L37" i="2"/>
  <c r="L23" i="2"/>
  <c r="L28" i="2"/>
  <c r="L92" i="2"/>
  <c r="L154" i="2"/>
  <c r="L169" i="2"/>
  <c r="L145" i="2"/>
  <c r="L113" i="2"/>
  <c r="L97" i="2"/>
  <c r="L81" i="2"/>
  <c r="L65" i="2"/>
  <c r="L49" i="2"/>
  <c r="L33" i="2"/>
  <c r="L124" i="2"/>
  <c r="L136" i="2"/>
  <c r="L84" i="2"/>
  <c r="L147" i="2"/>
  <c r="L143" i="2"/>
  <c r="L111" i="2"/>
  <c r="L95" i="2"/>
  <c r="L79" i="2"/>
  <c r="L63" i="2"/>
  <c r="L47" i="2"/>
  <c r="L31" i="2"/>
  <c r="L108" i="2"/>
  <c r="L76" i="2"/>
  <c r="L109" i="2"/>
  <c r="L93" i="2"/>
  <c r="L77" i="2"/>
  <c r="L61" i="2"/>
  <c r="L45" i="2"/>
  <c r="L29" i="2"/>
  <c r="L6" i="2"/>
  <c r="L105" i="2"/>
  <c r="L73" i="2"/>
  <c r="L57" i="2"/>
  <c r="L41" i="2"/>
  <c r="L90" i="2"/>
  <c r="L116" i="2"/>
  <c r="L52" i="2"/>
  <c r="L60" i="2"/>
  <c r="L175" i="2"/>
  <c r="L159" i="2"/>
  <c r="L135" i="2"/>
  <c r="L103" i="2"/>
  <c r="L87" i="2"/>
  <c r="L71" i="2"/>
  <c r="L55" i="2"/>
  <c r="L39" i="2"/>
  <c r="L165" i="2"/>
  <c r="L161" i="2"/>
  <c r="L157" i="2"/>
  <c r="L171" i="2"/>
  <c r="L155" i="2"/>
  <c r="L15" i="2"/>
  <c r="M61" i="1"/>
  <c r="M62" i="1" s="1"/>
  <c r="O62" i="1" s="1"/>
  <c r="Q59" i="1"/>
  <c r="S59" i="1" s="1"/>
  <c r="V10" i="1"/>
  <c r="Q52" i="1"/>
  <c r="S50" i="1" s="1"/>
  <c r="L42" i="1"/>
  <c r="L43" i="1"/>
  <c r="L44" i="1"/>
  <c r="L45" i="1"/>
  <c r="L46" i="1"/>
  <c r="L47" i="1"/>
  <c r="L41" i="1"/>
  <c r="N40" i="1"/>
  <c r="O40" i="1"/>
  <c r="P40" i="1"/>
  <c r="Q40" i="1"/>
  <c r="M40" i="1"/>
  <c r="O32" i="1"/>
  <c r="L30" i="1" s="1"/>
  <c r="O55" i="1" s="1"/>
  <c r="AN22" i="1"/>
  <c r="AJ22" i="1"/>
  <c r="AF22" i="1"/>
  <c r="AB22" i="1"/>
  <c r="X22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V33" i="1"/>
  <c r="V28" i="1"/>
  <c r="V23" i="1"/>
  <c r="AA12" i="1"/>
  <c r="L28" i="1"/>
  <c r="L27" i="1"/>
  <c r="L26" i="1"/>
  <c r="L25" i="1"/>
  <c r="L24" i="1"/>
  <c r="L23" i="1"/>
  <c r="L22" i="1"/>
  <c r="O12" i="1"/>
  <c r="L10" i="1" s="1"/>
  <c r="O51" i="1" s="1"/>
  <c r="N21" i="1"/>
  <c r="O21" i="1"/>
  <c r="P21" i="1"/>
  <c r="Q21" i="1"/>
  <c r="R21" i="1"/>
  <c r="M21" i="1"/>
  <c r="AJ16" i="1" l="1"/>
  <c r="O58" i="1"/>
  <c r="M58" i="1" s="1"/>
  <c r="M59" i="1" s="1"/>
  <c r="O59" i="1" s="1"/>
  <c r="M51" i="1"/>
  <c r="S51" i="1"/>
  <c r="R51" i="1"/>
  <c r="M55" i="1"/>
  <c r="M56" i="1" s="1"/>
  <c r="O56" i="1" s="1"/>
  <c r="R56" i="1" s="1"/>
  <c r="R55" i="1"/>
  <c r="AL18" i="1"/>
  <c r="AQ19" i="1"/>
  <c r="AJ17" i="1"/>
  <c r="AL19" i="1"/>
  <c r="AO18" i="1"/>
  <c r="AK16" i="1"/>
  <c r="AJ18" i="1"/>
  <c r="AM17" i="1"/>
  <c r="AO19" i="1"/>
  <c r="AL16" i="1"/>
  <c r="AJ19" i="1"/>
  <c r="AM18" i="1"/>
  <c r="AP17" i="1"/>
  <c r="AM16" i="1"/>
  <c r="AK17" i="1"/>
  <c r="AM19" i="1"/>
  <c r="AP18" i="1"/>
  <c r="AK18" i="1"/>
  <c r="AN17" i="1"/>
  <c r="AP19" i="1"/>
  <c r="AK19" i="1"/>
  <c r="AN18" i="1"/>
  <c r="AQ17" i="1"/>
  <c r="AL17" i="1"/>
  <c r="AN19" i="1"/>
  <c r="AQ18" i="1"/>
  <c r="AO17" i="1"/>
  <c r="M52" i="1"/>
  <c r="O52" i="1" s="1"/>
  <c r="Q56" i="1"/>
  <c r="S55" i="1" s="1"/>
  <c r="C23" i="1"/>
  <c r="P61" i="1" l="1"/>
  <c r="R61" i="1"/>
  <c r="R52" i="1"/>
  <c r="S52" i="1"/>
  <c r="S54" i="1"/>
  <c r="S56" i="1"/>
  <c r="E23" i="1"/>
  <c r="Q61" i="1"/>
  <c r="R62" i="1"/>
  <c r="P62" i="1"/>
  <c r="S61" i="1"/>
  <c r="Q62" i="1"/>
  <c r="S62" i="1"/>
  <c r="S12" i="1" l="1"/>
  <c r="S13" i="1" s="1"/>
  <c r="S32" i="1"/>
  <c r="S33" i="1" s="1"/>
  <c r="I23" i="1"/>
  <c r="G23" i="1"/>
  <c r="AM14" i="1"/>
  <c r="N5" i="1" s="1"/>
  <c r="AM13" i="1"/>
  <c r="N4" i="1" s="1"/>
  <c r="AM12" i="1"/>
  <c r="N3" i="1" s="1"/>
  <c r="O4" i="1" s="1"/>
  <c r="R5" i="1" l="1"/>
  <c r="R4" i="1"/>
  <c r="S5" i="1" l="1"/>
  <c r="S7" i="1"/>
  <c r="S8" i="1" s="1"/>
  <c r="O9" i="1" s="1"/>
  <c r="S4" i="1"/>
  <c r="BC3" i="1" l="1"/>
  <c r="BC5" i="1" s="1"/>
  <c r="R3" i="1"/>
  <c r="S3" i="1" s="1"/>
  <c r="O7" i="1" l="1"/>
  <c r="W9" i="1"/>
  <c r="W8" i="1" l="1"/>
  <c r="T9" i="1"/>
  <c r="W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tc={A3CDAF8D-D58A-4CC6-B3EE-9C17E61FF0FB}</author>
    <author>tc={04B18B7B-8A35-452A-92E9-4EE5D0C6C37C}</author>
    <author>tc={7851533F-A524-4973-B152-A96C34645D91}</author>
    <author>tc={C2E092E6-2C23-4C8E-9163-FD9447B6C233}</author>
    <author>tc={E834E3F8-E0EE-432E-BA73-2A45387F8231}</author>
  </authors>
  <commentList>
    <comment ref="F2" authorId="0" shapeId="0" xr:uid="{A3CDAF8D-D58A-4CC6-B3EE-9C17E61FF0FB}">
      <text>
        <t>[對話串註解]
您的 Excel 版本可讓您讀取此對話串註解; 但若以較新的 Excel 版本開啟此檔案，將會移除對它進行的所有編輯。深入了解: https://go.microsoft.com/fwlink/?linkid=870924。
註解:
    可以根據照片光圈、曝光時間、ISO值計算出BV值及EV index</t>
      </text>
    </comment>
    <comment ref="O3" authorId="1" shapeId="0" xr:uid="{04B18B7B-8A35-452A-92E9-4EE5D0C6C37C}">
      <text>
        <t>[對話串註解]
您的 Excel 版本可讓您讀取此對話串註解; 但若以較新的 Excel 版本開啟此檔案，將會移除對它進行的所有編輯。深入了解: https://go.microsoft.com/fwlink/?linkid=870924。
註解:
    若總合不為100，表示有進Face或Night scene演算法</t>
      </text>
    </comment>
    <comment ref="L9" authorId="2" shapeId="0" xr:uid="{7851533F-A524-4973-B152-A96C34645D91}">
      <text>
        <t>[對話串註解]
您的 Excel 版本可讓您讀取此對話串註解; 但若以較新的 Excel 版本開啟此檔案，將會移除對它進行的所有編輯。深入了解: https://go.microsoft.com/fwlink/?linkid=870924。
註解:
    Main target與Histogram target混合</t>
      </text>
    </comment>
    <comment ref="P9" authorId="3" shapeId="0" xr:uid="{C2E092E6-2C23-4C8E-9163-FD9447B6C233}">
      <text>
        <t>[對話串註解]
您的 Excel 版本可讓您讀取此對話串註解; 但若以較新的 Excel 版本開啟此檔案，將會移除對它進行的所有編輯。深入了解: https://go.microsoft.com/fwlink/?linkid=870924。
註解:
    Main target, Histogram target, Night scene target, Face target全部做完的結果，ISP6s/7為16bit，ISP6為8bit</t>
      </text>
    </comment>
    <comment ref="BW9" authorId="4" shapeId="0" xr:uid="{E834E3F8-E0EE-432E-BA73-2A45387F8231}">
      <text>
        <t>[對話串註解]
您的 Excel 版本可讓您讀取此對話串註解; 但若以較新的 Excel 版本開啟此檔案，將會移除對它進行的所有編輯。深入了解: https://go.microsoft.com/fwlink/?linkid=870924。
註解:
    會取NS normal target, NS bright-tone target, NS dark-tone target中最大值作為目標</t>
      </text>
    </comment>
  </commentList>
</comments>
</file>

<file path=xl/sharedStrings.xml><?xml version="1.0" encoding="utf-8"?>
<sst xmlns="http://schemas.openxmlformats.org/spreadsheetml/2006/main" count="554" uniqueCount="402">
  <si>
    <t>Main Target</t>
  </si>
  <si>
    <t>BV</t>
  </si>
  <si>
    <t>base</t>
  </si>
  <si>
    <t>exp</t>
  </si>
  <si>
    <t>THD_L</t>
  </si>
  <si>
    <t>THD_H</t>
  </si>
  <si>
    <t>EXIF TAG</t>
  </si>
  <si>
    <t>value</t>
  </si>
  <si>
    <t>AE_TAG_REALBVX1000</t>
  </si>
  <si>
    <t>AE_TAG_MTV6_MAINT_Y</t>
  </si>
  <si>
    <t>BV1</t>
    <phoneticPr fontId="1" type="noConversion"/>
  </si>
  <si>
    <t>BV2</t>
    <phoneticPr fontId="1" type="noConversion"/>
  </si>
  <si>
    <t>base1</t>
    <phoneticPr fontId="1" type="noConversion"/>
  </si>
  <si>
    <t>base2</t>
    <phoneticPr fontId="1" type="noConversion"/>
  </si>
  <si>
    <t>exp1</t>
    <phoneticPr fontId="1" type="noConversion"/>
  </si>
  <si>
    <t>exp2</t>
    <phoneticPr fontId="1" type="noConversion"/>
  </si>
  <si>
    <t>index</t>
    <phoneticPr fontId="1" type="noConversion"/>
  </si>
  <si>
    <t>index1</t>
    <phoneticPr fontId="1" type="noConversion"/>
  </si>
  <si>
    <t>index2</t>
    <phoneticPr fontId="1" type="noConversion"/>
  </si>
  <si>
    <t>Bright-Tone Target</t>
    <phoneticPr fontId="1" type="noConversion"/>
  </si>
  <si>
    <t>BV</t>
    <phoneticPr fontId="1" type="noConversion"/>
  </si>
  <si>
    <t>EVD</t>
    <phoneticPr fontId="1" type="noConversion"/>
  </si>
  <si>
    <t>BV \ EVD</t>
    <phoneticPr fontId="1" type="noConversion"/>
  </si>
  <si>
    <t>AE_TAG_HSV6_BT_THD</t>
    <phoneticPr fontId="1" type="noConversion"/>
  </si>
  <si>
    <t>AE_TAG_HSV6_BT_GAIN</t>
    <phoneticPr fontId="1" type="noConversion"/>
  </si>
  <si>
    <t>EVD1</t>
    <phoneticPr fontId="1" type="noConversion"/>
  </si>
  <si>
    <t>EVD2</t>
    <phoneticPr fontId="1" type="noConversion"/>
  </si>
  <si>
    <t>Histogram Weighting Table</t>
    <phoneticPr fontId="1" type="noConversion"/>
  </si>
  <si>
    <t>Mid%</t>
    <phoneticPr fontId="1" type="noConversion"/>
  </si>
  <si>
    <t>value</t>
    <phoneticPr fontId="1" type="noConversion"/>
  </si>
  <si>
    <t>AE_TAG_DRV6_B2D</t>
    <phoneticPr fontId="1" type="noConversion"/>
  </si>
  <si>
    <t>AE_TAG_DRV6_MIDRATIO</t>
    <phoneticPr fontId="1" type="noConversion"/>
  </si>
  <si>
    <t>EXIF TAG</t>
    <phoneticPr fontId="1" type="noConversion"/>
  </si>
  <si>
    <t>AE_TAG_HSV6_MAINT_WET</t>
    <phoneticPr fontId="1" type="noConversion"/>
  </si>
  <si>
    <t>AE_TAG_HSV6_MT_WET</t>
    <phoneticPr fontId="1" type="noConversion"/>
  </si>
  <si>
    <t>AE_TAG_HSV6_BT_WET</t>
    <phoneticPr fontId="1" type="noConversion"/>
  </si>
  <si>
    <t>Mid%1</t>
    <phoneticPr fontId="1" type="noConversion"/>
  </si>
  <si>
    <t>Mid%2</t>
    <phoneticPr fontId="1" type="noConversion"/>
  </si>
  <si>
    <t>M% L/H</t>
    <phoneticPr fontId="1" type="noConversion"/>
  </si>
  <si>
    <t>AE_TAG_MTV6_MAINT_GAIN</t>
    <phoneticPr fontId="1" type="noConversion"/>
  </si>
  <si>
    <t>AE_TAG_MTV6_MAINT_THD</t>
    <phoneticPr fontId="1" type="noConversion"/>
  </si>
  <si>
    <t>AE_TAG_MTV6_MAINT_INTP_BASE</t>
    <phoneticPr fontId="1" type="noConversion"/>
  </si>
  <si>
    <t>AE_TAG_MTV6_MAINT_INTP_EXP</t>
    <phoneticPr fontId="1" type="noConversion"/>
  </si>
  <si>
    <t>AE_TAG_HSV6_MT_THD</t>
    <phoneticPr fontId="1" type="noConversion"/>
  </si>
  <si>
    <t>AE_TAG_HSV6_MT_GAIN</t>
    <phoneticPr fontId="1" type="noConversion"/>
  </si>
  <si>
    <t>AE_TAG_DRV6_CORR_B2M</t>
    <phoneticPr fontId="1" type="noConversion"/>
  </si>
  <si>
    <t>Middle-Tone Target</t>
    <phoneticPr fontId="1" type="noConversion"/>
  </si>
  <si>
    <t>DR_B2M</t>
    <phoneticPr fontId="1" type="noConversion"/>
  </si>
  <si>
    <t>AE_TAG_MTV6_MAINT_MID_INTRATIO</t>
    <phoneticPr fontId="1" type="noConversion"/>
  </si>
  <si>
    <t>Main target</t>
    <phoneticPr fontId="1" type="noConversion"/>
  </si>
  <si>
    <t>exp. time</t>
    <phoneticPr fontId="1" type="noConversion"/>
  </si>
  <si>
    <t>sensor gain</t>
    <phoneticPr fontId="1" type="noConversion"/>
  </si>
  <si>
    <t>ISP gain</t>
    <phoneticPr fontId="1" type="noConversion"/>
  </si>
  <si>
    <t>gain</t>
    <phoneticPr fontId="1" type="noConversion"/>
  </si>
  <si>
    <t>TV</t>
    <phoneticPr fontId="1" type="noConversion"/>
  </si>
  <si>
    <t>lines</t>
    <phoneticPr fontId="1" type="noConversion"/>
  </si>
  <si>
    <t>AV</t>
    <phoneticPr fontId="1" type="noConversion"/>
  </si>
  <si>
    <t>SV</t>
    <phoneticPr fontId="1" type="noConversion"/>
  </si>
  <si>
    <t>BV'</t>
    <phoneticPr fontId="1" type="noConversion"/>
  </si>
  <si>
    <t xml:space="preserve">    {42,1024,1024, 0, 0, 0},  /* TV = 14.54(4 lines)  AV=1.70  SV=5.00  BV=11.24 */</t>
  </si>
  <si>
    <t xml:space="preserve">    {42,1024,1096, 0, 0, 0},  //TV = 14.54(4 lines)  AV=1.70  SV=5.10  BV=11.14</t>
  </si>
  <si>
    <t xml:space="preserve">    {42,1152,1038, 0, 0, 0},  //TV = 14.54(4 lines)  AV=1.70  SV=5.19  BV=11.05</t>
  </si>
  <si>
    <t xml:space="preserve">    {42,1152,1123, 0, 0, 0},  //TV = 14.54(4 lines)  AV=1.70  SV=5.30  BV=10.93</t>
  </si>
  <si>
    <t xml:space="preserve">    {53,1024,1064, 0, 0, 0},  //TV = 14.20(5 lines)  AV=1.70  SV=5.06  BV=10.84</t>
  </si>
  <si>
    <t xml:space="preserve">    {53,1024,1136, 0, 0, 0},  //TV = 14.20(5 lines)  AV=1.70  SV=5.15  BV=10.75</t>
  </si>
  <si>
    <t xml:space="preserve">    {63,1024,1056, 0, 0, 0},  /* TV = 13.95(6 lines)  AV=1.70  SV=5.04  BV=10.61 */</t>
  </si>
  <si>
    <t xml:space="preserve">    {63,1024,1120, 0, 0, 0},  //TV = 13.95(6 lines)  AV=1.70  SV=5.13  BV=10.52</t>
  </si>
  <si>
    <t xml:space="preserve">    {73,1024,1024, 0, 0, 0},  //TV = 13.74(7 lines)  AV=1.70  SV=5.00  BV=10.44</t>
  </si>
  <si>
    <t xml:space="preserve">    {73,1024,1112, 0, 0, 0},  //TV = 13.74(7 lines)  AV=1.70  SV=5.12  BV=10.32</t>
  </si>
  <si>
    <t xml:space="preserve">    {73,1152,1038, 0, 0, 0},  //TV = 13.74(7 lines)  AV=1.70  SV=5.19  BV=10.25</t>
  </si>
  <si>
    <t xml:space="preserve">    {84,1024,1096, 0, 0, 0},  //TV = 13.54(8 lines)  AV=1.70  SV=5.10  BV=10.14</t>
  </si>
  <si>
    <t xml:space="preserve">    {94,1024,1048, 0, 0, 0},  //TV = 13.38(9 lines)  AV=1.70  SV=5.03  BV=10.04</t>
  </si>
  <si>
    <t xml:space="preserve">    {105,1024,1024, 0, 0, 0},  //TV = 13.22(10 lines)  AV=1.70  SV=5.00  BV=9.91</t>
  </si>
  <si>
    <t xml:space="preserve">    {105,1024,1080, 0, 0, 0},  //TV = 13.22(10 lines)  AV=1.70  SV=5.08  BV=9.84</t>
  </si>
  <si>
    <t xml:space="preserve">    {115,1024,1048, 0, 0, 0},  //TV = 13.09(11 lines)  AV=1.70  SV=5.03  BV=9.75</t>
  </si>
  <si>
    <t xml:space="preserve">    {126,1024,1056, 0, 0, 0},  /* TV = 12.95(12 lines)  AV=1.70  SV=5.04  BV=9.61 */</t>
  </si>
  <si>
    <t xml:space="preserve">    {136,1024,1040, 0, 0, 0},  //TV = 12.84(13 lines)  AV=1.70  SV=5.02  BV=9.52</t>
  </si>
  <si>
    <t xml:space="preserve">    {146,1024,1032, 0, 0, 0},  //TV = 12.74(14 lines)  AV=1.70  SV=5.01  BV=9.43</t>
  </si>
  <si>
    <t xml:space="preserve">    {157,1024,1040, 0, 0, 0},  //TV = 12.64(15 lines)  AV=1.70  SV=5.02  BV=9.31</t>
  </si>
  <si>
    <t xml:space="preserve">    {167,1024,1048, 0, 0, 0},  //TV = 12.55(16 lines)  AV=1.70  SV=5.03  BV=9.21</t>
  </si>
  <si>
    <t xml:space="preserve">    {178,1024,1064, 0, 0, 0},  //TV = 12.46(17 lines)  AV=1.70  SV=5.06  BV=9.10</t>
  </si>
  <si>
    <t xml:space="preserve">    {188,1024,1048, 0, 0, 0},  /* TV = 12.38(18 lines)  AV=1.70  SV=5.03  BV=9.04 */</t>
  </si>
  <si>
    <t xml:space="preserve">    {199,1024,1056, 0, 0, 0},  //TV = 12.29(19 lines)  AV=1.70  SV=5.04  BV=8.95</t>
  </si>
  <si>
    <t xml:space="preserve">    {219,1024,1032, 0, 0, 0},  //TV = 12.16(21 lines)  AV=1.70  SV=5.01  BV=8.84</t>
  </si>
  <si>
    <t xml:space="preserve">    {230,1024,1048, 0, 0, 0},  //TV = 12.09(22 lines)  AV=1.70  SV=5.03  BV=8.75</t>
  </si>
  <si>
    <t xml:space="preserve">    {251,1024,1032, 0, 0, 0},  //TV = 11.96(24 lines)  AV=1.70  SV=5.01  BV=8.64</t>
  </si>
  <si>
    <t xml:space="preserve">    {271,1024,1024, 0, 0, 0},  //TV = 11.85(26 lines)  AV=1.70  SV=5.00  BV=8.55</t>
  </si>
  <si>
    <t xml:space="preserve">    {282,1024,1056, 0, 0, 0},  //TV = 11.79(27 lines)  AV=1.70  SV=5.04  BV=8.44</t>
  </si>
  <si>
    <t xml:space="preserve">    {303,1024,1056, 0, 0, 0},  //TV = 11.69(29 lines)  AV=1.70  SV=5.04  BV=8.34</t>
  </si>
  <si>
    <t xml:space="preserve">    {334,1024,1024, 0, 0, 0},  //TV = 11.55(32 lines)  AV=1.70  SV=5.00  BV=8.24</t>
  </si>
  <si>
    <t xml:space="preserve">    {355,1024,1032, 0, 0, 0},  //TV = 11.46(34 lines)  AV=1.70  SV=5.01  BV=8.14</t>
  </si>
  <si>
    <t xml:space="preserve">    {376,1024,1048, 0, 0, 0},  //TV = 11.38(36 lines)  AV=1.70  SV=5.03  BV=8.04</t>
  </si>
  <si>
    <t xml:space="preserve">    {407,1024,1032, 0, 0, 0},  //TV = 11.26(39 lines)  AV=1.70  SV=5.01  BV=7.95</t>
  </si>
  <si>
    <t xml:space="preserve">    {438,1024,1032, 0, 0, 0},  //TV = 11.16(42 lines)  AV=1.70  SV=5.01  BV=7.84</t>
  </si>
  <si>
    <t xml:space="preserve">    {470,1024,1032, 0, 0, 0},  //TV = 11.06(45 lines)  AV=1.70  SV=5.01  BV=7.74</t>
  </si>
  <si>
    <t xml:space="preserve">    {501,1024,1032, 0, 0, 0},  //TV = 10.96(48 lines)  AV=1.70  SV=5.01  BV=7.65</t>
  </si>
  <si>
    <t xml:space="preserve">    {532,1024,1040, 0, 0, 0},  //TV = 10.88(51 lines)  AV=1.70  SV=5.02  BV=7.55</t>
  </si>
  <si>
    <t xml:space="preserve">    {584,1024,1024, 0, 0, 0},  //TV = 10.74(56 lines)  AV=1.70  SV=5.00  BV=7.44</t>
  </si>
  <si>
    <t xml:space="preserve">    {615,1024,1040, 0, 0, 0},  //TV = 10.67(59 lines)  AV=1.70  SV=5.02  BV=7.34</t>
  </si>
  <si>
    <t xml:space="preserve">    {668,1024,1024, 0, 0, 0},  //TV = 10.55(64 lines)  AV=1.70  SV=5.00  BV=7.24</t>
  </si>
  <si>
    <t xml:space="preserve">    {709,1024,1032, 0, 0, 0},  //TV = 10.46(68 lines)  AV=1.70  SV=5.01  BV=7.15</t>
  </si>
  <si>
    <t xml:space="preserve">    {761,1024,1032, 0, 0, 0},  //TV = 10.36(73 lines)  AV=1.70  SV=5.01  BV=7.04</t>
  </si>
  <si>
    <t xml:space="preserve">    {813,1024,1032, 0, 0, 0},  //TV = 10.26(78 lines)  AV=1.70  SV=5.01  BV=6.95</t>
  </si>
  <si>
    <t xml:space="preserve">    {876,1024,1032, 0, 0, 0},  //TV = 10.16(84 lines)  AV=1.70  SV=5.01  BV=6.84</t>
  </si>
  <si>
    <t xml:space="preserve">    {939,1024,1032, 0, 0, 0},  //TV = 10.06(90 lines)  AV=1.70  SV=5.01  BV=6.74</t>
  </si>
  <si>
    <t xml:space="preserve">    {1001,1024,1032, 0, 0, 0},  //TV = 9.96(96 lines)  AV=1.70  SV=5.01  BV=6.65</t>
  </si>
  <si>
    <t xml:space="preserve">    {1074,1024,1032, 0, 0, 0},  //TV = 9.86(103 lines)  AV=1.70  SV=5.01  BV=6.55</t>
  </si>
  <si>
    <t xml:space="preserve">    {1157,1024,1032, 0, 0, 0},  //TV = 9.76(111 lines)  AV=1.70  SV=5.01  BV=6.44</t>
  </si>
  <si>
    <t xml:space="preserve">    {1251,1024,1024, 0, 0, 0},  //TV = 9.64(120 lines)  AV=1.70  SV=5.00  BV=6.34</t>
  </si>
  <si>
    <t xml:space="preserve">    {1335,1024,1024, 0, 0, 0},  //TV = 9.55(128 lines)  AV=1.70  SV=5.00  BV=6.24</t>
  </si>
  <si>
    <t xml:space="preserve">    {1418,1024,1032, 0, 0, 0},  //TV = 9.46(136 lines)  AV=1.70  SV=5.01  BV=6.15</t>
  </si>
  <si>
    <t xml:space="preserve">    {1533,1024,1024, 0, 0, 0},  //TV = 9.35(147 lines)  AV=1.70  SV=5.00  BV=6.05</t>
  </si>
  <si>
    <t xml:space="preserve">    {1647,1024,1024, 0, 0, 0},  //TV = 9.25(158 lines)  AV=1.70  SV=5.00  BV=5.94</t>
  </si>
  <si>
    <t xml:space="preserve">    {1762,1024,1024, 0, 0, 0},  //TV = 9.15(169 lines)  AV=1.70  SV=5.00  BV=5.84</t>
  </si>
  <si>
    <t xml:space="preserve">    {1897,1024,1024, 0, 0, 0},  //TV = 9.04(182 lines)  AV=1.70  SV=5.00  BV=5.74</t>
  </si>
  <si>
    <t xml:space="preserve">    {2023,1024,1024, 0, 0, 0},  //TV = 8.95(194 lines)  AV=1.70  SV=5.00  BV=5.65</t>
  </si>
  <si>
    <t xml:space="preserve">    {2168,1024,1024, 0, 0, 0},  //TV = 8.85(208 lines)  AV=1.70  SV=5.00  BV=5.55</t>
  </si>
  <si>
    <t xml:space="preserve">    {2335,1024,1024, 0, 0, 0},  //TV = 8.74(224 lines)  AV=1.70  SV=5.00  BV=5.44</t>
  </si>
  <si>
    <t xml:space="preserve">    {2492,1024,1024, 0, 0, 0},  //TV = 8.65(239 lines)  AV=1.70  SV=5.00  BV=5.34</t>
  </si>
  <si>
    <t xml:space="preserve">    {2669,1024,1024, 0, 0, 0},  //TV = 8.55(256 lines)  AV=1.70  SV=5.00  BV=5.25</t>
  </si>
  <si>
    <t xml:space="preserve">    {2856,1024,1024, 0, 0, 0},  //TV = 8.45(274 lines)  AV=1.70  SV=5.00  BV=5.15</t>
  </si>
  <si>
    <t xml:space="preserve">    {3075,1024,1024, 0, 0, 0},  //TV = 8.35(295 lines)  AV=1.70  SV=5.00  BV=5.04</t>
  </si>
  <si>
    <t xml:space="preserve">    {3294,1024,1024, 0, 0, 0},  //TV = 8.25(316 lines)  AV=1.70  SV=5.00  BV=4.94</t>
  </si>
  <si>
    <t xml:space="preserve">    {3523,1024,1024, 0, 0, 0},  //TV = 8.15(338 lines)  AV=1.70  SV=5.00  BV=4.84</t>
  </si>
  <si>
    <t xml:space="preserve">    {3774,1024,1024, 0, 0, 0},  //TV = 8.05(362 lines)  AV=1.70  SV=5.00  BV=4.75</t>
  </si>
  <si>
    <t xml:space="preserve">    {4034,1024,1024, 0, 0, 0},  //TV = 7.95(387 lines)  AV=1.70  SV=5.00  BV=4.65</t>
  </si>
  <si>
    <t xml:space="preserve">    {4347,1024,1024, 0, 0, 0},  //TV = 7.85(417 lines)  AV=1.70  SV=5.00  BV=4.54</t>
  </si>
  <si>
    <t xml:space="preserve">    {4660,1024,1024, 0, 0, 0},  //TV = 7.75(447 lines)  AV=1.70  SV=5.00  BV=4.44</t>
  </si>
  <si>
    <t xml:space="preserve">    {4983,1024,1024, 0, 0, 0},  //TV = 7.65(478 lines)  AV=1.70  SV=5.00  BV=4.34</t>
  </si>
  <si>
    <t xml:space="preserve">    {5337,1024,1024, 0, 0, 0},  //TV = 7.55(512 lines)  AV=1.70  SV=5.00  BV=4.25</t>
  </si>
  <si>
    <t xml:space="preserve">    {5712,1024,1024, 0, 0, 0},  //TV = 7.45(548 lines)  AV=1.70  SV=5.00  BV=4.15</t>
  </si>
  <si>
    <t xml:space="preserve">    {6119,1024,1024, 0, 0, 0},  //TV = 7.35(587 lines)  AV=1.70  SV=5.00  BV=4.05</t>
  </si>
  <si>
    <t xml:space="preserve">    {6557,1024,1024, 0, 0, 0},  //TV = 7.25(629 lines)  AV=1.70  SV=5.00  BV=3.95</t>
  </si>
  <si>
    <t xml:space="preserve">    {7026,1024,1024, 0, 0, 0},  //TV = 7.15(674 lines)  AV=1.70  SV=5.00  BV=3.85</t>
  </si>
  <si>
    <t xml:space="preserve">    {7526,1024,1024, 0, 0, 0},  //TV = 7.05(722 lines)  AV=1.70  SV=5.00  BV=3.75</t>
  </si>
  <si>
    <t xml:space="preserve">    {8110,1024,1024, 0, 0, 0},  //TV = 6.95(778 lines)  AV=1.70  SV=5.00  BV=3.64</t>
  </si>
  <si>
    <t xml:space="preserve">    {8328,1024,1064, 0, 0, 0},  //TV = 6.91(799 lines)  AV=1.70  SV=5.06  BV=3.55</t>
  </si>
  <si>
    <t xml:space="preserve">    {8328,1024,1144, 0, 0, 0},  //TV = 6.91(799 lines)  AV=1.70  SV=5.16  BV=3.44</t>
  </si>
  <si>
    <t xml:space="preserve">    {8328,1152,1088, 0, 0, 0},  //TV = 6.91(799 lines)  AV=1.70  SV=5.26  BV=3.35</t>
  </si>
  <si>
    <t xml:space="preserve">    {8328,1280,1049, 0, 0, 0},  //TV = 6.91(799 lines)  AV=1.70  SV=5.36  BV=3.25</t>
  </si>
  <si>
    <t xml:space="preserve">    {8328,1408,1029, 0, 0, 0},  //TV = 6.91(799 lines)  AV=1.70  SV=5.47  BV=3.14</t>
  </si>
  <si>
    <t xml:space="preserve">    {8328,1408,1093, 0, 0, 0},  //TV = 6.91(799 lines)  AV=1.70  SV=5.55  BV=3.05</t>
  </si>
  <si>
    <t xml:space="preserve">    {8328,1536,1077, 0, 0, 0},  //TV = 6.91(799 lines)  AV=1.70  SV=5.66  BV=2.95</t>
  </si>
  <si>
    <t xml:space="preserve">    {8328,1664,1063, 0, 0, 0},  //TV = 6.91(799 lines)  AV=1.70  SV=5.75  BV=2.85</t>
  </si>
  <si>
    <t xml:space="preserve">    {8328,1792,1060, 0, 0, 0},  //TV = 6.91(799 lines)  AV=1.70  SV=5.86  BV=2.75</t>
  </si>
  <si>
    <t xml:space="preserve">    {8328,1920,1058, 0, 0, 0},  //TV = 6.91(799 lines)  AV=1.70  SV=5.95  BV=2.65</t>
  </si>
  <si>
    <t xml:space="preserve">    {8328,2048,1064, 0, 0, 0},  //TV = 6.91(799 lines)  AV=1.70  SV=6.06  BV=2.55</t>
  </si>
  <si>
    <t xml:space="preserve">    {8328,2176,1072, 0, 0, 0},  //TV = 6.91(799 lines)  AV=1.70  SV=6.15  BV=2.45</t>
  </si>
  <si>
    <t xml:space="preserve">    {8328,2432,1030, 0, 0, 0},  //TV = 6.91(799 lines)  AV=1.70  SV=6.26  BV=2.35</t>
  </si>
  <si>
    <t xml:space="preserve">    {8328,2560,1056, 0, 0, 0},  //TV = 6.91(799 lines)  AV=1.70  SV=6.37  BV=2.24</t>
  </si>
  <si>
    <t xml:space="preserve">    {8328,2688,1069, 0, 0, 0},  //TV = 6.91(799 lines)  AV=1.70  SV=6.45  BV=2.15</t>
  </si>
  <si>
    <t xml:space="preserve">    {8328,2944,1046, 0, 0, 0},  //TV = 6.91(799 lines)  AV=1.70  SV=6.55  BV=2.05</t>
  </si>
  <si>
    <t xml:space="preserve">    {16667,1536,1082, 0, 0, 0},  //TV = 5.91(1599 lines)  AV=1.70  SV=5.66  BV=1.94</t>
  </si>
  <si>
    <t xml:space="preserve">    {16667,1664,1063, 0, 0, 0},  //TV = 5.91(1599 lines)  AV=1.70  SV=5.75  BV=1.85</t>
  </si>
  <si>
    <t xml:space="preserve">    {16667,1792,1065, 0, 0, 0},  //TV = 5.91(1599 lines)  AV=1.70  SV=5.86  BV=1.74</t>
  </si>
  <si>
    <t xml:space="preserve">    {16667,1920,1058, 0, 0, 0},  //TV = 5.91(1599 lines)  AV=1.70  SV=5.95  BV=1.65</t>
  </si>
  <si>
    <t xml:space="preserve">    {16667,2048,1064, 0, 0, 0},  //TV = 5.91(1599 lines)  AV=1.70  SV=6.06  BV=1.55</t>
  </si>
  <si>
    <t xml:space="preserve">    {16667,2176,1072, 0, 0, 0},  //TV = 5.91(1599 lines)  AV=1.70  SV=6.15  BV=1.45</t>
  </si>
  <si>
    <t xml:space="preserve">    {16667,2432,1034, 0, 0, 0},  //TV = 5.91(1599 lines)  AV=1.70  SV=6.26  BV=1.34</t>
  </si>
  <si>
    <t xml:space="preserve">    {16667,2560,1049, 0, 0, 0},  //TV = 5.91(1599 lines)  AV=1.70  SV=6.36  BV=1.25</t>
  </si>
  <si>
    <t xml:space="preserve">    {16667,2688,1069, 0, 0, 0},  //TV = 5.91(1599 lines)  AV=1.70  SV=6.45  BV=1.15</t>
  </si>
  <si>
    <t xml:space="preserve">    {16667,2944,1046, 0, 0, 0},  //TV = 5.91(1599 lines)  AV=1.70  SV=6.55  BV=1.05</t>
  </si>
  <si>
    <t xml:space="preserve">    {16667,3200,1036, 0, 0, 0},  //TV = 5.91(1599 lines)  AV=1.70  SV=6.66  BV=0.94</t>
  </si>
  <si>
    <t xml:space="preserve">    {16667,3456,1026, 0, 0, 0},  //TV = 5.91(1599 lines)  AV=1.70  SV=6.76  BV=0.85</t>
  </si>
  <si>
    <t xml:space="preserve">    {16667,3712,1024, 0, 0, 0},  //TV = 5.91(1599 lines)  AV=1.70  SV=6.86  BV=0.74</t>
  </si>
  <si>
    <t xml:space="preserve">    {16667,3968,1024, 0, 0, 0},  //TV = 5.91(1599 lines)  AV=1.70  SV=6.95  BV=0.65</t>
  </si>
  <si>
    <t xml:space="preserve">    {16667,4224,1035, 0, 0, 0},  //TV = 5.91(1599 lines)  AV=1.70  SV=7.06  BV=0.54</t>
  </si>
  <si>
    <t xml:space="preserve">    {16667,4480,1045, 0, 0, 0},  //TV = 5.91(1599 lines)  AV=1.70  SV=7.16  BV=0.44</t>
  </si>
  <si>
    <t xml:space="preserve">    {16667,4864,1032, 0, 0, 0},  //TV = 5.91(1599 lines)  AV=1.70  SV=7.26  BV=0.34</t>
  </si>
  <si>
    <t xml:space="preserve">    {24995,3456,1038, 0, 0, 0},  //TV = 5.32(2398 lines)  AV=1.70  SV=6.77  BV=0.24</t>
  </si>
  <si>
    <t xml:space="preserve">    {24995,3712,1035, 0, 0, 0},  //TV = 5.32(2398 lines)  AV=1.70  SV=6.87  BV=0.14</t>
  </si>
  <si>
    <t xml:space="preserve">    {24995,3968,1038, 0, 0, 0},  //TV = 5.32(2398 lines)  AV=1.70  SV=6.97  BV=0.04</t>
  </si>
  <si>
    <t xml:space="preserve">    {24995,4224,1043, 0, 0, 0},  //TV = 5.32(2398 lines)  AV=1.70  SV=7.07  BV=-0.05</t>
  </si>
  <si>
    <t xml:space="preserve">    {24995,4608,1025, 0, 0, 0},  //TV = 5.32(2398 lines)  AV=1.70  SV=7.17  BV=-0.15</t>
  </si>
  <si>
    <t xml:space="preserve">    {33333,3712,1024, 0, 0, 0},  //TV = 4.91(3198 lines)  AV=1.70  SV=6.86  BV=-0.26</t>
  </si>
  <si>
    <t xml:space="preserve">    {33333,3968,1026, 0, 0, 0},  //TV = 4.91(3198 lines)  AV=1.70  SV=6.96  BV=-0.35</t>
  </si>
  <si>
    <t xml:space="preserve">    {33333,4224,1033, 0, 0, 0},  //TV = 4.91(3198 lines)  AV=1.70  SV=7.06  BV=-0.45</t>
  </si>
  <si>
    <t xml:space="preserve">    {33333,4480,1044, 0, 0, 0},  //TV = 4.91(3198 lines)  AV=1.70  SV=7.16  BV=-0.55</t>
  </si>
  <si>
    <t xml:space="preserve">    {33333,4864,1029, 0, 0, 0},  //TV = 4.91(3198 lines)  AV=1.70  SV=7.25  BV=-0.65</t>
  </si>
  <si>
    <t xml:space="preserve">    {33333,5120,1048, 0, 0, 0},  //TV = 4.91(3198 lines)  AV=1.70  SV=7.36  BV=-0.75</t>
  </si>
  <si>
    <t xml:space="preserve">    {33333,5504,1043, 0, 0, 0},  //TV = 4.91(3198 lines)  AV=1.70  SV=7.45  BV=-0.85</t>
  </si>
  <si>
    <t xml:space="preserve">    {33333,6016,1029, 0, 0, 0},  //TV = 4.91(3198 lines)  AV=1.70  SV=7.56  BV=-0.96</t>
  </si>
  <si>
    <t xml:space="preserve">    {33333,6400,1035, 0, 0, 0},  //TV = 4.91(3198 lines)  AV=1.70  SV=7.66  BV=-1.06</t>
  </si>
  <si>
    <t xml:space="preserve">    {33333,6912,1027, 0, 0, 0},  //TV = 4.91(3198 lines)  AV=1.70  SV=7.76  BV=-1.16</t>
  </si>
  <si>
    <t xml:space="preserve">    {33333,7424,1024, 0, 0, 0},  //TV = 4.91(3198 lines)  AV=1.70  SV=7.86  BV=-1.26</t>
  </si>
  <si>
    <t xml:space="preserve">    {33333,7936,1026, 0, 0, 0},  //TV = 4.91(3198 lines)  AV=1.70  SV=7.96  BV=-1.35</t>
  </si>
  <si>
    <t xml:space="preserve">    {33333,8448,1032, 0, 0, 0},  //TV = 4.91(3198 lines)  AV=1.70  SV=8.06  BV=-1.45</t>
  </si>
  <si>
    <t xml:space="preserve">    {33333,9088,1028, 0, 0, 0},  //TV = 4.91(3198 lines)  AV=1.70  SV=8.16  BV=-1.55</t>
  </si>
  <si>
    <t xml:space="preserve">    {33333,9728,1029, 0, 0, 0},  //TV = 4.91(3198 lines)  AV=1.70  SV=8.25  BV=-1.65</t>
  </si>
  <si>
    <t xml:space="preserve">    {33333,10368,1034, 0, 0, 0},  //TV = 4.91(3198 lines)  AV=1.70  SV=8.35  BV=-1.75</t>
  </si>
  <si>
    <t xml:space="preserve">    {33333,11136,1031, 0, 0, 0},  //TV = 4.91(3198 lines)  AV=1.70  SV=8.45  BV=-1.85</t>
  </si>
  <si>
    <t xml:space="preserve">    {33333,12032,1029, 0, 0, 0},  //TV = 4.91(3198 lines)  AV=1.70  SV=8.56  BV=-1.96</t>
  </si>
  <si>
    <t xml:space="preserve">    {33333,12800,1031, 0, 0, 0},  //TV = 4.91(3198 lines)  AV=1.70  SV=8.65  BV=-2.05</t>
  </si>
  <si>
    <t xml:space="preserve">    {33333,13824,1024, 0, 0, 0},  //TV = 4.91(3198 lines)  AV=1.70  SV=8.75  BV=-2.15</t>
  </si>
  <si>
    <t xml:space="preserve">    {41661,11776,1030, 0, 0, 0},  //TV = 4.59(3997 lines)  AV=1.70  SV=8.53  BV=-2.25</t>
  </si>
  <si>
    <t xml:space="preserve">    {41661,12672,1026, 0, 0, 0},  //TV = 4.59(3997 lines)  AV=1.70  SV=8.63  BV=-2.35</t>
  </si>
  <si>
    <t xml:space="preserve">    {50000,11264,1031, 0, 0, 0},  //TV = 4.32(4797 lines)  AV=1.70  SV=8.47  BV=-2.45</t>
  </si>
  <si>
    <t xml:space="preserve">    {50000,12032,1034, 0, 0, 0},  //TV = 4.32(4797 lines)  AV=1.70  SV=8.57  BV=-2.55</t>
  </si>
  <si>
    <t xml:space="preserve">    {50000,12928,1031, 0, 0, 0},  //TV = 4.32(4797 lines)  AV=1.70  SV=8.67  BV=-2.65</t>
  </si>
  <si>
    <t xml:space="preserve">    {58328,11904,1029, 0, 0, 0},  //TV = 4.10(5596 lines)  AV=1.70  SV=8.55  BV=-2.75</t>
  </si>
  <si>
    <t xml:space="preserve">    {58328,12800,1025, 0, 0, 0},  //TV = 4.10(5596 lines)  AV=1.70  SV=8.65  BV=-2.85</t>
  </si>
  <si>
    <t xml:space="preserve">    {66666,11904,1034, 0, 0, 0},  //TV = 3.91(6396 lines)  AV=1.70  SV=8.55  BV=-2.95</t>
  </si>
  <si>
    <t xml:space="preserve">    {66666,12800,1031, 0, 0, 0},  //TV = 3.91(6396 lines)  AV=1.70  SV=8.65  BV=-3.05</t>
  </si>
  <si>
    <t xml:space="preserve">    {66666,13696,1032, 0, 0, 0},  //TV = 3.91(6396 lines)  AV=1.70  SV=8.75  BV=-3.15</t>
  </si>
  <si>
    <t xml:space="preserve">    {66666,14720,1029, 0, 0, 0},  //TV = 3.91(6396 lines)  AV=1.70  SV=8.85  BV=-3.25</t>
  </si>
  <si>
    <t xml:space="preserve">    {66666,15744,1031, 0, 0, 0},  //TV = 3.91(6396 lines)  AV=1.70  SV=8.95  BV=-3.35</t>
  </si>
  <si>
    <t xml:space="preserve">    {66666,16384,1069, 0, 0, 0},  //TV = 3.91(6396 lines)  AV=1.70  SV=9.06  BV=-3.46</t>
  </si>
  <si>
    <t xml:space="preserve">    {66666,16384,1146, 0, 0, 0},  //TV = 3.91(6396 lines)  AV=1.70  SV=9.16  BV=-3.56</t>
  </si>
  <si>
    <t xml:space="preserve">    {66666,16384,1228, 0, 0, 0},  //TV = 3.91(6396 lines)  AV=1.70  SV=9.26  BV=-3.66</t>
  </si>
  <si>
    <t xml:space="preserve">    {66666,16384,1315, 0, 0, 0},  //TV = 3.91(6396 lines)  AV=1.70  SV=9.36  BV=-3.76</t>
  </si>
  <si>
    <t xml:space="preserve">    {66666,16384,1409, 0, 0, 0},  //TV = 3.91(6396 lines)  AV=1.70  SV=9.46  BV=-3.86</t>
  </si>
  <si>
    <t xml:space="preserve">    {66666,16384,1510, 0, 0, 0},  //TV = 3.91(6396 lines)  AV=1.70  SV=9.56  BV=-3.96</t>
  </si>
  <si>
    <t xml:space="preserve">    {66666,16384,1618, 0, 0, 0},  //TV = 3.91(6396 lines)  AV=1.70  SV=9.66  BV=-4.06</t>
  </si>
  <si>
    <t xml:space="preserve">    {66666,16384,1734, 0, 0, 0},  //TV = 3.91(6396 lines)  AV=1.70  SV=9.76  BV=-4.16</t>
  </si>
  <si>
    <t xml:space="preserve">    {66666,16384,1859, 0, 0, 0},  //TV = 3.91(6396 lines)  AV=1.70  SV=9.86  BV=-4.26</t>
  </si>
  <si>
    <t xml:space="preserve">    {66666,16384,1992, 0, 0, 0},  //TV = 3.91(6396 lines)  AV=1.70  SV=9.96  BV=-4.36</t>
  </si>
  <si>
    <t xml:space="preserve">    {66666,16384,2134, 0, 0, 0},  //TV = 3.91(6396 lines)  AV=1.70  SV=10.06  BV=-4.46</t>
  </si>
  <si>
    <t xml:space="preserve">    {66666,16384,2287, 0, 0, 0},  //TV = 3.91(6396 lines)  AV=1.70  SV=10.16  BV=-4.56</t>
  </si>
  <si>
    <t xml:space="preserve">    {66666,16384,2451, 0, 0, 0},  //TV = 3.91(6396 lines)  AV=1.70  SV=10.26  BV=-4.66</t>
  </si>
  <si>
    <t xml:space="preserve">    {66666,16384,2627, 0, 0, 0},  //TV = 3.91(6396 lines)  AV=1.70  SV=10.36  BV=-4.76</t>
  </si>
  <si>
    <t xml:space="preserve">    {66666,16384,2815, 0, 0, 0},  //TV = 3.91(6396 lines)  AV=1.70  SV=10.46  BV=-4.86</t>
  </si>
  <si>
    <t xml:space="preserve">    {66666,16384,3023, 0, 0, 0},  //TV = 3.91(6396 lines)  AV=1.70  SV=10.56  BV=-4.96</t>
  </si>
  <si>
    <t xml:space="preserve">    {74994,16384,2880, 0, 0, 0},  //TV = 3.74(7195 lines)  AV=1.70  SV=10.49  BV=-5.06</t>
  </si>
  <si>
    <t xml:space="preserve">    {83332,16384,2777, 0, 0, 0},  //TV = 3.58(7995 lines)  AV=1.70  SV=10.44  BV=-5.16</t>
  </si>
  <si>
    <t xml:space="preserve">    {83332,16384,2977, 0, 0, 0},  //TV = 3.58(7995 lines)  AV=1.70  SV=10.54  BV=-5.26</t>
  </si>
  <si>
    <t xml:space="preserve">    {91660,16384,2900, 0, 0, 0},  //TV = 3.45(8794 lines)  AV=1.70  SV=10.50  BV=-5.36</t>
  </si>
  <si>
    <t xml:space="preserve">    {99999,16384,2849, 0, 0, 0},  //TV = 3.32(9594 lines)  AV=1.70  SV=10.48  BV=-5.46</t>
  </si>
  <si>
    <t xml:space="preserve">    {99999,16384,3044, 0, 0, 0},  //TV = 3.32(9594 lines)  AV=1.70  SV=10.57  BV=-5.55</t>
  </si>
  <si>
    <t xml:space="preserve">    {99999,16384,3262, 0, 0, 0},  //TV = 3.32(9594 lines)  AV=1.70  SV=10.67  BV=-5.65</t>
  </si>
  <si>
    <t xml:space="preserve">    {99999,16384,3496, 0, 0, 0},  //TV = 3.32(9594 lines)  AV=1.70  SV=10.77  BV=-5.75</t>
  </si>
  <si>
    <t xml:space="preserve">    {99999,16384,3746, 0, 0, 0},  //TV = 3.32(9594 lines)  AV=1.70  SV=10.87  BV=-5.85</t>
  </si>
  <si>
    <t xml:space="preserve">    {99999,16384,4015, 0, 0, 0},  //TV = 3.32(9594 lines)  AV=1.70  SV=10.97  BV=-5.95</t>
  </si>
  <si>
    <t xml:space="preserve">    {99999,16384,4096, 0, 0, 0},  /* TV = 3.32(9594 lines)  AV=1.70  SV=11.00  BV=-5.98 */</t>
  </si>
  <si>
    <t xml:space="preserve">    {0, 0, 0, 0, 0, 0},  //reserved no used</t>
  </si>
  <si>
    <t xml:space="preserve">    {32,1280,1049, 0, 0, 0},  //TV = 14.93(3 lines)  AV=1.70  SV=5.36  BV=11.27</t>
  </si>
  <si>
    <t>device</t>
    <phoneticPr fontId="1" type="noConversion"/>
  </si>
  <si>
    <t>target</t>
    <phoneticPr fontId="1" type="noConversion"/>
  </si>
  <si>
    <t>ISO</t>
    <phoneticPr fontId="1" type="noConversion"/>
  </si>
  <si>
    <t>ISO 1x</t>
    <phoneticPr fontId="1" type="noConversion"/>
  </si>
  <si>
    <t>f</t>
    <phoneticPr fontId="1" type="noConversion"/>
  </si>
  <si>
    <t>AE_TAG_HSV6_HS_GAIN</t>
    <phoneticPr fontId="1" type="noConversion"/>
  </si>
  <si>
    <t>AE_TAG_CWV</t>
    <phoneticPr fontId="1" type="noConversion"/>
  </si>
  <si>
    <t>AE_TAG_HSV6_HS_TARGET</t>
    <phoneticPr fontId="1" type="noConversion"/>
  </si>
  <si>
    <t>AE_TAG_MTV6_MAINT_TARGET</t>
    <phoneticPr fontId="1" type="noConversion"/>
  </si>
  <si>
    <t>expected</t>
    <phoneticPr fontId="1" type="noConversion"/>
  </si>
  <si>
    <t>MTK AE analysis</t>
    <phoneticPr fontId="1" type="noConversion"/>
  </si>
  <si>
    <t>AE_TAG_HSV6_MT_Final_Y</t>
    <phoneticPr fontId="1" type="noConversion"/>
  </si>
  <si>
    <t>AE_TAG_HSV6_BT_Final_Y</t>
    <phoneticPr fontId="1" type="noConversion"/>
  </si>
  <si>
    <t>Scale value</t>
  </si>
  <si>
    <t>exp. time</t>
  </si>
  <si>
    <t>ISO</t>
  </si>
  <si>
    <t>Expected CWV</t>
    <phoneticPr fontId="1" type="noConversion"/>
  </si>
  <si>
    <t>CWV</t>
  </si>
  <si>
    <t>BV \ B2M</t>
    <phoneticPr fontId="1" type="noConversion"/>
  </si>
  <si>
    <t>B2M1</t>
    <phoneticPr fontId="1" type="noConversion"/>
  </si>
  <si>
    <t>B2M2</t>
    <phoneticPr fontId="1" type="noConversion"/>
  </si>
  <si>
    <t>formula</t>
    <phoneticPr fontId="1" type="noConversion"/>
  </si>
  <si>
    <t>exp.time</t>
    <phoneticPr fontId="1" type="noConversion"/>
  </si>
  <si>
    <t>AE_TAG_HSV6_DT_THD</t>
    <phoneticPr fontId="1" type="noConversion"/>
  </si>
  <si>
    <t>AE_TAG_HSV6_DT_FINAL_Y</t>
    <phoneticPr fontId="1" type="noConversion"/>
  </si>
  <si>
    <t>CWV(Ori)</t>
    <phoneticPr fontId="1" type="noConversion"/>
  </si>
  <si>
    <t>HS weighting table / HS gain table</t>
    <phoneticPr fontId="1" type="noConversion"/>
  </si>
  <si>
    <t>HS target</t>
    <phoneticPr fontId="1" type="noConversion"/>
  </si>
  <si>
    <t>MAINT_GAIN</t>
    <phoneticPr fontId="1" type="noConversion"/>
  </si>
  <si>
    <t>MT_GAIN</t>
    <phoneticPr fontId="1" type="noConversion"/>
  </si>
  <si>
    <t>BT_GAIN</t>
    <phoneticPr fontId="1" type="noConversion"/>
  </si>
  <si>
    <t>%</t>
    <phoneticPr fontId="1" type="noConversion"/>
  </si>
  <si>
    <t>1. 深灰儲存格輸入照片exif，並輸入expected exp.time, ISO
2. 調整參數，使CWV final target接近expected CWV final target</t>
    <phoneticPr fontId="1" type="noConversion"/>
  </si>
  <si>
    <t>crtl + o: zero
crtl + u: region, image resize
crtl + p: copy this sheet to other</t>
    <phoneticPr fontId="1" type="noConversion"/>
  </si>
  <si>
    <t>DR</t>
    <phoneticPr fontId="1" type="noConversion"/>
  </si>
  <si>
    <t>Face Link Target (Normal light)</t>
    <phoneticPr fontId="1" type="noConversion"/>
  </si>
  <si>
    <t>Face Link Target (Low light)</t>
    <phoneticPr fontId="1" type="noConversion"/>
  </si>
  <si>
    <t>FDSZ</t>
    <phoneticPr fontId="1" type="noConversion"/>
  </si>
  <si>
    <t>face size
control</t>
    <phoneticPr fontId="1" type="noConversion"/>
  </si>
  <si>
    <t>RA</t>
    <phoneticPr fontId="1" type="noConversion"/>
  </si>
  <si>
    <t>Back Scene Target (Normal light)</t>
    <phoneticPr fontId="1" type="noConversion"/>
  </si>
  <si>
    <t>Back Scene Target (Low light)</t>
    <phoneticPr fontId="1" type="noConversion"/>
  </si>
  <si>
    <t>face locSize</t>
    <phoneticPr fontId="1" type="noConversion"/>
  </si>
  <si>
    <t>size</t>
    <phoneticPr fontId="1" type="noConversion"/>
  </si>
  <si>
    <t>sizePb</t>
    <phoneticPr fontId="1" type="noConversion"/>
  </si>
  <si>
    <t>loc</t>
    <phoneticPr fontId="1" type="noConversion"/>
  </si>
  <si>
    <t>locPb</t>
    <phoneticPr fontId="1" type="noConversion"/>
  </si>
  <si>
    <t>szPb_L</t>
    <phoneticPr fontId="1" type="noConversion"/>
  </si>
  <si>
    <t>szPb_H</t>
    <phoneticPr fontId="1" type="noConversion"/>
  </si>
  <si>
    <t>locPb_L</t>
    <phoneticPr fontId="1" type="noConversion"/>
  </si>
  <si>
    <t>locPb_H</t>
    <phoneticPr fontId="1" type="noConversion"/>
  </si>
  <si>
    <t>FACE_PROB</t>
  </si>
  <si>
    <t>FDY minimum THD</t>
    <phoneticPr fontId="1" type="noConversion"/>
  </si>
  <si>
    <t>BV \ DR</t>
    <phoneticPr fontId="1" type="noConversion"/>
  </si>
  <si>
    <t>oneSet(0) or byBV(1)</t>
    <phoneticPr fontId="1" type="noConversion"/>
  </si>
  <si>
    <t>P_HS_MT</t>
    <phoneticPr fontId="1" type="noConversion"/>
  </si>
  <si>
    <t>P_HS_BT</t>
    <phoneticPr fontId="1" type="noConversion"/>
  </si>
  <si>
    <t>P_MainT</t>
    <phoneticPr fontId="1" type="noConversion"/>
  </si>
  <si>
    <t>Sum</t>
    <phoneticPr fontId="1" type="noConversion"/>
  </si>
  <si>
    <t>DR1</t>
    <phoneticPr fontId="1" type="noConversion"/>
  </si>
  <si>
    <t>DR2</t>
    <phoneticPr fontId="1" type="noConversion"/>
  </si>
  <si>
    <t>AE_TAG_NS_STS_BVPROB</t>
    <phoneticPr fontId="1" type="noConversion"/>
  </si>
  <si>
    <t>AE_TAG_NS_STS_CDFPROB</t>
    <phoneticPr fontId="1" type="noConversion"/>
  </si>
  <si>
    <t>AE_TAG_PROB_NS</t>
    <phoneticPr fontId="1" type="noConversion"/>
  </si>
  <si>
    <t>P_NS_Flat</t>
    <phoneticPr fontId="1" type="noConversion"/>
  </si>
  <si>
    <t>P_NS_Thd</t>
    <phoneticPr fontId="1" type="noConversion"/>
  </si>
  <si>
    <t>P_NS_BT_Flat</t>
    <phoneticPr fontId="1" type="noConversion"/>
  </si>
  <si>
    <t>P_NS_BT_Thd</t>
    <phoneticPr fontId="1" type="noConversion"/>
  </si>
  <si>
    <t>P_NS_DT_Thd</t>
    <phoneticPr fontId="1" type="noConversion"/>
  </si>
  <si>
    <t>P_NS_DT_Lbnd</t>
    <phoneticPr fontId="1" type="noConversion"/>
  </si>
  <si>
    <t>P_NS_DT_Hbnd</t>
    <phoneticPr fontId="1" type="noConversion"/>
  </si>
  <si>
    <t>NS normal target</t>
    <phoneticPr fontId="1" type="noConversion"/>
  </si>
  <si>
    <t>NS final target</t>
    <phoneticPr fontId="1" type="noConversion"/>
  </si>
  <si>
    <t>P_NS</t>
    <phoneticPr fontId="1" type="noConversion"/>
  </si>
  <si>
    <t>Night scene weighting table / Night scene related parameters</t>
    <phoneticPr fontId="1" type="noConversion"/>
  </si>
  <si>
    <t>Target_Maint_HS</t>
    <phoneticPr fontId="1" type="noConversion"/>
  </si>
  <si>
    <t>AE_TAG_CWV_FINAL_TARGET</t>
    <phoneticPr fontId="1" type="noConversion"/>
  </si>
  <si>
    <t>BT_thd</t>
    <phoneticPr fontId="1" type="noConversion"/>
  </si>
  <si>
    <t>NS_thd</t>
    <phoneticPr fontId="1" type="noConversion"/>
  </si>
  <si>
    <t>AE_TAG_PROB_NS_FLAT</t>
    <phoneticPr fontId="1" type="noConversion"/>
  </si>
  <si>
    <t>AE_TAG_NS_NV_FLATTHD</t>
    <phoneticPr fontId="1" type="noConversion"/>
  </si>
  <si>
    <t>NS_THD</t>
    <phoneticPr fontId="1" type="noConversion"/>
  </si>
  <si>
    <t>Night Scene Normal and Bright-Tone Target</t>
    <phoneticPr fontId="1" type="noConversion"/>
  </si>
  <si>
    <t>NS Bright-Tone Target</t>
    <phoneticPr fontId="1" type="noConversion"/>
  </si>
  <si>
    <t>NS Normal Target</t>
    <phoneticPr fontId="1" type="noConversion"/>
  </si>
  <si>
    <t>NS_BTTHD</t>
    <phoneticPr fontId="1" type="noConversion"/>
  </si>
  <si>
    <t>BTTHD</t>
    <phoneticPr fontId="1" type="noConversion"/>
  </si>
  <si>
    <t>NS bright-tone target</t>
    <phoneticPr fontId="1" type="noConversion"/>
  </si>
  <si>
    <t>NS dark-tone target</t>
    <phoneticPr fontId="1" type="noConversion"/>
  </si>
  <si>
    <t>NS_OETHD</t>
    <phoneticPr fontId="1" type="noConversion"/>
  </si>
  <si>
    <t>LowBndThd</t>
    <phoneticPr fontId="1" type="noConversion"/>
  </si>
  <si>
    <t>Limit</t>
    <phoneticPr fontId="1" type="noConversion"/>
  </si>
  <si>
    <t>BT_thd1</t>
    <phoneticPr fontId="1" type="noConversion"/>
  </si>
  <si>
    <t>BT_thd2</t>
    <phoneticPr fontId="1" type="noConversion"/>
  </si>
  <si>
    <t>NS_thd1</t>
    <phoneticPr fontId="1" type="noConversion"/>
  </si>
  <si>
    <t>NS_thd2</t>
    <phoneticPr fontId="1" type="noConversion"/>
  </si>
  <si>
    <t>NS Sky Suppresion</t>
    <phoneticPr fontId="1" type="noConversion"/>
  </si>
  <si>
    <t>enable</t>
    <phoneticPr fontId="1" type="noConversion"/>
  </si>
  <si>
    <t>sky_x1</t>
    <phoneticPr fontId="1" type="noConversion"/>
  </si>
  <si>
    <t>sky_x2</t>
    <phoneticPr fontId="1" type="noConversion"/>
  </si>
  <si>
    <t>sky_y1</t>
    <phoneticPr fontId="1" type="noConversion"/>
  </si>
  <si>
    <t>sky_y2</t>
    <phoneticPr fontId="1" type="noConversion"/>
  </si>
  <si>
    <t>NS Sky prop</t>
    <phoneticPr fontId="1" type="noConversion"/>
  </si>
  <si>
    <t>NS flat prop</t>
    <phoneticPr fontId="1" type="noConversion"/>
  </si>
  <si>
    <t>flat_x1</t>
    <phoneticPr fontId="1" type="noConversion"/>
  </si>
  <si>
    <t>flat_x2</t>
    <phoneticPr fontId="1" type="noConversion"/>
  </si>
  <si>
    <t>flat_y1</t>
    <phoneticPr fontId="1" type="noConversion"/>
  </si>
  <si>
    <t>flat_y2</t>
    <phoneticPr fontId="1" type="noConversion"/>
  </si>
  <si>
    <t>ISP6</t>
    <phoneticPr fontId="1" type="noConversion"/>
  </si>
  <si>
    <t>NS Dark-Tone Target</t>
    <phoneticPr fontId="1" type="noConversion"/>
  </si>
  <si>
    <t>face dr
control</t>
    <phoneticPr fontId="1" type="noConversion"/>
  </si>
  <si>
    <t>FDDR</t>
    <phoneticPr fontId="1" type="noConversion"/>
  </si>
  <si>
    <t>OE_target</t>
  </si>
  <si>
    <t>FDSZ</t>
  </si>
  <si>
    <t>FDSZ_RA</t>
  </si>
  <si>
    <t>FDLOC</t>
  </si>
  <si>
    <t>FBT_TH</t>
  </si>
  <si>
    <t>AE_TAG_HS_EVD</t>
    <phoneticPr fontId="1" type="noConversion"/>
  </si>
  <si>
    <t>AE_TAG_NS_EVD</t>
    <phoneticPr fontId="1" type="noConversion"/>
  </si>
  <si>
    <t>AE_TAG_NS_NORMAL_Y</t>
    <phoneticPr fontId="1" type="noConversion"/>
  </si>
  <si>
    <t>AE_TAG_NS_BT_Y</t>
    <phoneticPr fontId="1" type="noConversion"/>
  </si>
  <si>
    <t>AE_TAG_NS_DT_Y</t>
    <phoneticPr fontId="1" type="noConversion"/>
  </si>
  <si>
    <t>FLT_TH'</t>
    <phoneticPr fontId="1" type="noConversion"/>
  </si>
  <si>
    <t>FLT_target</t>
  </si>
  <si>
    <t>PURE_AE_CWR_STABLE</t>
  </si>
  <si>
    <t>miniFDY</t>
  </si>
  <si>
    <t>PURE_AE_CWR_STABLE</t>
    <phoneticPr fontId="1" type="noConversion"/>
  </si>
  <si>
    <t>Metering situation</t>
  </si>
  <si>
    <t>Face weighting table / Face related parameters</t>
  </si>
  <si>
    <t>AE target</t>
  </si>
  <si>
    <t>Stable</t>
  </si>
  <si>
    <t>AE_TAG_FACE_LOW_BOUND</t>
  </si>
  <si>
    <t>P_FACE_Thd</t>
  </si>
  <si>
    <t>AE_TAG_FACE_HIGH_BOUND</t>
  </si>
  <si>
    <t>P_FACE_Hbnd</t>
  </si>
  <si>
    <t>CWR_target_lowbound</t>
  </si>
  <si>
    <t>LINK_AE_CWR</t>
    <phoneticPr fontId="1" type="noConversion"/>
  </si>
  <si>
    <t>P_FACE_Lbnd</t>
  </si>
  <si>
    <t>CWR_target_highbound</t>
  </si>
  <si>
    <t>LINK_AE_CWR_STABLE</t>
    <phoneticPr fontId="1" type="noConversion"/>
  </si>
  <si>
    <t>P_FACE_Flt_Thd</t>
  </si>
  <si>
    <t>AE_TAG_LINK_FACE_TH_MIN</t>
  </si>
  <si>
    <t>LINK_MAX_GAIN</t>
    <phoneticPr fontId="1" type="noConversion"/>
  </si>
  <si>
    <t>P_FACE_Flt_Dr</t>
  </si>
  <si>
    <t>AE_TAG_LINK_FACE_CWR_MIN</t>
  </si>
  <si>
    <t>LINK_FACE_CWR</t>
    <phoneticPr fontId="1" type="noConversion"/>
  </si>
  <si>
    <t>P_FACE_Flt_Hbnd</t>
  </si>
  <si>
    <t>Face_20_Normal Target</t>
  </si>
  <si>
    <t>LINK_FACE_CWR_STABLE</t>
    <phoneticPr fontId="1" type="noConversion"/>
  </si>
  <si>
    <t>LINK_FACE_CWR即Face Link Target的公式與文件中描述有出入，要如下計算跟debug parser中的tag才對的上</t>
    <phoneticPr fontId="1" type="noConversion"/>
  </si>
  <si>
    <t>AE_TAG_FLT_OE_SYS</t>
  </si>
  <si>
    <t>FLT_TH</t>
    <phoneticPr fontId="1" type="noConversion"/>
  </si>
  <si>
    <t>AE_TAG_FBT_OE_SYS</t>
  </si>
  <si>
    <t>FBT_target</t>
  </si>
  <si>
    <t>AE_TAG_FLT_OETH</t>
  </si>
  <si>
    <t>FDDR</t>
  </si>
  <si>
    <t>FDDR_RA</t>
  </si>
  <si>
    <t>AE_TAG_FBT_OETH</t>
  </si>
  <si>
    <t>AE_TAG_FLT_DR</t>
  </si>
  <si>
    <t>AE_TAG_FLT_FDTH</t>
  </si>
  <si>
    <t>AE_TAG_FBT_DR</t>
  </si>
  <si>
    <t>AE_TAG_FBT_FDTH</t>
  </si>
  <si>
    <t>FBT_TH'</t>
    <phoneticPr fontId="1" type="noConversion"/>
  </si>
  <si>
    <t>AE_TAG_FLT_FDY</t>
  </si>
  <si>
    <t>AE_TAG_FLT_FDMINTH</t>
  </si>
  <si>
    <t>AE_TAG_FBT_FDY</t>
  </si>
  <si>
    <t>AE_TAG_FBT_FDMINTH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</si>
</sst>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_ "/>
  </numFmts>
  <fonts count="20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新細明體"/>
      <family val="1"/>
      <charset val="136"/>
      <scheme val="minor"/>
    </font>
    <font>
      <sz val="12"/>
      <color theme="2" tint="-9.9978637043366805E-2"/>
      <name val="新細明體"/>
      <family val="1"/>
      <charset val="136"/>
      <scheme val="minor"/>
    </font>
    <font>
      <sz val="12"/>
      <color theme="2" tint="-9.9978637043366805E-2"/>
      <name val="新細明體"/>
      <family val="2"/>
      <charset val="136"/>
      <scheme val="minor"/>
    </font>
    <font>
      <sz val="10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color theme="1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8"/>
      <color theme="1"/>
      <name val="Calibri"/>
      <family val="2"/>
    </font>
    <font>
      <b/>
      <sz val="11.5"/>
      <color theme="1"/>
      <name val="Calibri"/>
      <family val="2"/>
    </font>
    <font>
      <sz val="12"/>
      <color rgb="FFC00000"/>
      <name val="新細明體"/>
      <family val="2"/>
      <charset val="136"/>
      <scheme val="minor"/>
    </font>
    <font>
      <sz val="6"/>
      <color theme="2" tint="-9.9978637043366805E-2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0"/>
      <color theme="1"/>
      <name val="新細明體"/>
      <family val="2"/>
      <charset val="136"/>
      <scheme val="minor"/>
    </font>
    <font>
      <sz val="12"/>
      <name val="新細明體"/>
      <family val="2"/>
      <charset val="136"/>
      <scheme val="minor"/>
    </font>
    <font>
      <sz val="12"/>
      <color theme="0" tint="-0.14999847407452621"/>
      <name val="新細明體"/>
      <family val="2"/>
      <charset val="136"/>
      <scheme val="minor"/>
    </font>
    <font>
      <sz val="8"/>
      <color theme="1"/>
      <name val="新細明體"/>
      <family val="1"/>
      <charset val="136"/>
      <scheme val="minor"/>
    </font>
    <font>
      <sz val="11"/>
      <color rgb="FFC00000"/>
      <name val="新細明體"/>
      <family val="2"/>
      <charset val="136"/>
      <scheme val="minor"/>
    </font>
    <font>
      <sz val="12"/>
      <color rgb="FFC00000"/>
      <name val="新細明體"/>
      <family val="1"/>
      <charset val="136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6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0" fillId="0" borderId="11" xfId="0" applyBorder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77" fontId="0" fillId="4" borderId="1" xfId="0" applyNumberFormat="1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0" fillId="0" borderId="14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176" fontId="0" fillId="5" borderId="1" xfId="0" applyNumberFormat="1" applyFill="1" applyBorder="1" applyAlignment="1">
      <alignment horizontal="center" vertical="center"/>
    </xf>
    <xf numFmtId="177" fontId="0" fillId="5" borderId="1" xfId="0" applyNumberFormat="1" applyFill="1" applyBorder="1" applyAlignment="1">
      <alignment horizontal="center" vertical="center"/>
    </xf>
    <xf numFmtId="176" fontId="0" fillId="6" borderId="1" xfId="0" applyNumberFormat="1" applyFill="1" applyBorder="1" applyAlignment="1">
      <alignment horizontal="center" vertical="center"/>
    </xf>
    <xf numFmtId="177" fontId="0" fillId="6" borderId="1" xfId="0" applyNumberFormat="1" applyFill="1" applyBorder="1" applyAlignment="1">
      <alignment horizontal="center" vertical="center"/>
    </xf>
    <xf numFmtId="9" fontId="0" fillId="4" borderId="1" xfId="0" applyNumberFormat="1" applyFill="1" applyBorder="1" applyAlignment="1">
      <alignment horizontal="center" vertical="center"/>
    </xf>
    <xf numFmtId="9" fontId="0" fillId="5" borderId="1" xfId="0" applyNumberFormat="1" applyFill="1" applyBorder="1" applyAlignment="1">
      <alignment horizontal="center" vertical="center"/>
    </xf>
    <xf numFmtId="9" fontId="0" fillId="6" borderId="1" xfId="0" applyNumberForma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176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11" fillId="0" borderId="0" xfId="0" applyFont="1" applyAlignment="1">
      <alignment horizontal="left" vertical="center"/>
    </xf>
    <xf numFmtId="0" fontId="0" fillId="2" borderId="4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0" borderId="7" xfId="0" applyBorder="1">
      <alignment vertical="center"/>
    </xf>
    <xf numFmtId="177" fontId="0" fillId="0" borderId="0" xfId="0" applyNumberForma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0" fillId="4" borderId="1" xfId="0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5" fillId="0" borderId="2" xfId="0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0" xfId="0" applyBorder="1" applyAlignment="1"/>
    <xf numFmtId="0" fontId="0" fillId="0" borderId="1" xfId="0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3" xfId="0" applyBorder="1" applyAlignment="1"/>
    <xf numFmtId="0" fontId="5" fillId="0" borderId="1" xfId="0" applyFont="1" applyBorder="1" applyAlignment="1">
      <alignment horizontal="center" vertical="center"/>
    </xf>
    <xf numFmtId="0" fontId="0" fillId="0" borderId="9" xfId="0" applyBorder="1" applyAlignment="1"/>
    <xf numFmtId="0" fontId="9" fillId="2" borderId="4" xfId="0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9" fillId="2" borderId="8" xfId="0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horizontal="center" vertical="center"/>
    </xf>
    <xf numFmtId="0" fontId="9" fillId="2" borderId="12" xfId="0" applyFont="1" applyFill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176" fontId="10" fillId="2" borderId="5" xfId="0" applyNumberFormat="1" applyFont="1" applyFill="1" applyBorder="1" applyAlignment="1">
      <alignment horizontal="left" vertical="center" wrapText="1"/>
    </xf>
    <xf numFmtId="176" fontId="10" fillId="2" borderId="0" xfId="0" applyNumberFormat="1" applyFont="1" applyFill="1" applyAlignment="1">
      <alignment horizontal="left" vertical="center" wrapText="1"/>
    </xf>
    <xf numFmtId="176" fontId="10" fillId="2" borderId="12" xfId="0" applyNumberFormat="1" applyFont="1" applyFill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176" fontId="0" fillId="0" borderId="3" xfId="0" applyNumberForma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0" fillId="2" borderId="2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9" xfId="0" applyFont="1" applyBorder="1" applyAlignment="1"/>
    <xf numFmtId="0" fontId="7" fillId="0" borderId="10" xfId="0" applyFont="1" applyBorder="1" applyAlignment="1"/>
    <xf numFmtId="176" fontId="4" fillId="0" borderId="0" xfId="0" applyNumberFormat="1" applyFont="1" applyAlignment="1">
      <alignment horizontal="left" vertical="center" wrapText="1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 wrapText="1"/>
    </xf>
    <xf numFmtId="0" fontId="0" fillId="2" borderId="3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 wrapText="1"/>
    </xf>
    <xf numFmtId="0" fontId="6" fillId="2" borderId="15" xfId="0" applyFont="1" applyFill="1" applyBorder="1" applyAlignment="1">
      <alignment horizontal="center" vertical="center" wrapText="1"/>
    </xf>
    <xf numFmtId="0" fontId="6" fillId="2" borderId="14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176" fontId="0" fillId="2" borderId="2" xfId="0" applyNumberFormat="1" applyFill="1" applyBorder="1" applyAlignment="1">
      <alignment horizontal="center" vertical="center"/>
    </xf>
    <xf numFmtId="176" fontId="0" fillId="2" borderId="9" xfId="0" applyNumberForma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0" fillId="0" borderId="1" xfId="0" applyBorder="1" applyAlignment="1"/>
    <xf numFmtId="0" fontId="5" fillId="0" borderId="4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</cellXfs>
  <cellStyles count="1">
    <cellStyle name="一般" xfId="0" builtinId="0"/>
  </cellStyles>
  <dxfs count="1">
    <dxf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56</xdr:col>
      <xdr:colOff>0</xdr:colOff>
      <xdr:row>1</xdr:row>
      <xdr:rowOff>0</xdr:rowOff>
    </xdr:from>
    <xdr:to>
      <xdr:col>66</xdr:col>
      <xdr:colOff>674097</xdr:colOff>
      <xdr:row>8</xdr:row>
      <xdr:rowOff>198483</xdr:rowOff>
    </xdr:to>
    <xdr:pic>
      <xdr:nvPicPr>
        <xdr:cNvPr id="32" name="圖片 31">
          <a:extLst>
            <a:ext uri="{FF2B5EF4-FFF2-40B4-BE49-F238E27FC236}">
              <a16:creationId xmlns:a16="http://schemas.microsoft.com/office/drawing/2014/main" id="{5FE2B927-EEAD-4C75-9C86-1DEB3C1EB8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27275" y="209550"/>
          <a:ext cx="7570197" cy="1665333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9290" id="{6C861A3E-6139-4711-BE3E-742D46CA43ED}" userId="S::Y9290@365i.team::b2023014-0d05-4d15-99fd-a5adb537db35" providerId="AD"/>
</personList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2" dT="2022-04-17T14:22:30.28" personId="{6C861A3E-6139-4711-BE3E-742D46CA43ED}" id="{A3CDAF8D-D58A-4CC6-B3EE-9C17E61FF0FB}">
    <text>可以根據照片光圈、曝光時間、ISO值計算出BV值及EV index</text>
  </threadedComment>
  <threadedComment ref="O3" dT="2022-04-17T14:23:49.10" personId="{6C861A3E-6139-4711-BE3E-742D46CA43ED}" id="{04B18B7B-8A35-452A-92E9-4EE5D0C6C37C}">
    <text>若總合不為100，表示有進Face或Night scene演算法</text>
  </threadedComment>
  <threadedComment ref="L9" dT="2022-04-17T11:37:44.01" personId="{6C861A3E-6139-4711-BE3E-742D46CA43ED}" id="{7851533F-A524-4973-B152-A96C34645D91}">
    <text>Main target與Histogram target混合</text>
  </threadedComment>
  <threadedComment ref="P9" dT="2022-04-17T11:39:15.28" personId="{6C861A3E-6139-4711-BE3E-742D46CA43ED}" id="{C2E092E6-2C23-4C8E-9163-FD9447B6C233}">
    <text>Main target, Histogram target, Night scene target, Face target全部做完的結果，ISP6s/7為16bit，ISP6為8bit</text>
  </threadedComment>
  <threadedComment ref="BW9" dT="2022-04-17T15:16:50.56" personId="{6C861A3E-6139-4711-BE3E-742D46CA43ED}" id="{E834E3F8-E0EE-432E-BA73-2A45387F8231}">
    <text>會取NS normal target, NS bright-tone target, NS dark-tone target中最大值作為目標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2:CF110"/>
  <sheetViews>
    <sheetView tabSelected="1" zoomScaleNormal="100" workbookViewId="0">
      <pane ySplit="10" topLeftCell="A11" activePane="bottomLeft" state="frozen"/>
      <selection pane="bottomLeft" activeCell="B2" sqref="B2:E5"/>
    </sheetView>
  </sheetViews>
  <sheetFormatPr defaultRowHeight="16.5"/>
  <cols>
    <col min="1" max="1" width="3.375" style="13" customWidth="1"/>
    <col min="2" max="2" width="9" style="12" customWidth="1"/>
    <col min="3" max="10" width="9" style="12"/>
    <col min="11" max="11" width="3.375" style="13" customWidth="1"/>
    <col min="12" max="20" width="9" style="12"/>
    <col min="21" max="21" width="3.25" style="12" customWidth="1"/>
    <col min="22" max="22" width="9.125" style="12" customWidth="1"/>
    <col min="23" max="23" width="9" style="12" customWidth="1"/>
    <col min="24" max="44" width="3.375" style="12" customWidth="1"/>
    <col min="45" max="54" width="9" style="12"/>
    <col min="55" max="55" width="9.5" style="12" bestFit="1" customWidth="1"/>
    <col min="56" max="56" width="3.375" style="12" customWidth="1"/>
    <col min="57" max="62" width="9" style="12"/>
    <col min="63" max="63" width="9.5" style="12" bestFit="1" customWidth="1"/>
    <col min="64" max="67" width="9" style="12"/>
    <col min="68" max="68" width="3.375" style="12" customWidth="1"/>
    <col min="69" max="16384" width="9" style="12"/>
  </cols>
  <sheetData>
    <row r="2" spans="2:84" ht="16.5" customHeight="1">
      <c r="B2" s="82" t="s">
        <v>245</v>
      </c>
      <c r="C2" s="83"/>
      <c r="D2" s="83"/>
      <c r="E2" s="84"/>
      <c r="F2" s="8"/>
      <c r="G2" s="8" t="s">
        <v>236</v>
      </c>
      <c r="H2" s="8" t="s">
        <v>235</v>
      </c>
      <c r="I2" s="8" t="s">
        <v>244</v>
      </c>
      <c r="J2"/>
      <c r="L2" s="64" t="s">
        <v>261</v>
      </c>
      <c r="M2" s="64"/>
      <c r="N2" s="64"/>
      <c r="O2" s="64"/>
      <c r="P2" s="64"/>
      <c r="Q2" s="64"/>
      <c r="R2" s="8" t="s">
        <v>7</v>
      </c>
      <c r="S2" s="8" t="s">
        <v>266</v>
      </c>
      <c r="T2"/>
      <c r="Z2"/>
      <c r="AS2" s="64" t="s">
        <v>363</v>
      </c>
      <c r="AT2" s="81"/>
      <c r="AU2" s="81"/>
      <c r="AV2" s="81"/>
      <c r="AW2" s="81"/>
      <c r="AX2" s="81"/>
      <c r="AY2" s="81"/>
      <c r="AZ2" s="65"/>
      <c r="BA2" s="64" t="s">
        <v>362</v>
      </c>
      <c r="BB2" s="65"/>
      <c r="BC2" s="53" t="e">
        <f>IF(BC3&lt;BC4,1,IF(BC3&gt;BC8,3,2))</f>
        <v>#N/A</v>
      </c>
      <c r="BQ2" s="64" t="s">
        <v>309</v>
      </c>
      <c r="BR2" s="64"/>
      <c r="BS2" s="64"/>
      <c r="BT2" s="64"/>
      <c r="BU2" s="64"/>
      <c r="BV2" s="64"/>
      <c r="BW2" s="64"/>
      <c r="BX2" s="64"/>
      <c r="BY2" s="64"/>
      <c r="BZ2"/>
      <c r="CA2"/>
      <c r="CB2"/>
    </row>
    <row r="3" spans="2:84" ht="16.5" customHeight="1">
      <c r="B3" s="85"/>
      <c r="C3" s="86"/>
      <c r="D3" s="86"/>
      <c r="E3" s="87"/>
      <c r="F3" s="8" t="s">
        <v>238</v>
      </c>
      <c r="G3" s="28"/>
      <c r="H3" s="28"/>
      <c r="I3" s="9">
        <f>H3</f>
        <v>0</v>
      </c>
      <c r="J3"/>
      <c r="L3" s="74" t="s">
        <v>292</v>
      </c>
      <c r="M3" s="75"/>
      <c r="N3" s="21" t="e">
        <f>IF(AND($AV$4=0,$AV$7=0,$BV$5=0),AM12,(100-$AV$7-$BV$5)*AM12/SUM($AM$12:$AO$14))</f>
        <v>#N/A</v>
      </c>
      <c r="O3" s="8" t="s">
        <v>293</v>
      </c>
      <c r="P3" s="106" t="s">
        <v>263</v>
      </c>
      <c r="Q3" s="76"/>
      <c r="R3" s="19">
        <f>I14</f>
        <v>0</v>
      </c>
      <c r="S3" s="34">
        <f>R3/1024</f>
        <v>0</v>
      </c>
      <c r="T3"/>
      <c r="V3" s="3" t="s">
        <v>256</v>
      </c>
      <c r="W3" s="11" t="e">
        <f>S9*W5*W6</f>
        <v>#N/A</v>
      </c>
      <c r="AS3" s="27" t="s">
        <v>364</v>
      </c>
      <c r="AT3" s="27"/>
      <c r="AU3" s="27" t="s">
        <v>365</v>
      </c>
      <c r="AV3" s="27"/>
      <c r="AW3" s="77" t="s">
        <v>366</v>
      </c>
      <c r="AX3" s="78"/>
      <c r="AY3" s="79"/>
      <c r="AZ3" s="27"/>
      <c r="BA3" s="115" t="s">
        <v>359</v>
      </c>
      <c r="BB3" s="115"/>
      <c r="BC3" s="53" t="e">
        <f>BO14</f>
        <v>#N/A</v>
      </c>
      <c r="BQ3" s="66" t="s">
        <v>296</v>
      </c>
      <c r="BR3" s="66"/>
      <c r="BS3" s="66"/>
      <c r="BT3" s="66"/>
      <c r="BU3" s="66"/>
      <c r="BV3" s="55"/>
      <c r="BW3" s="158" t="s">
        <v>306</v>
      </c>
      <c r="BX3" s="158"/>
      <c r="BY3" s="66">
        <f>BX14</f>
        <v>0</v>
      </c>
    </row>
    <row r="4" spans="2:84" ht="16.5" customHeight="1">
      <c r="B4" s="85"/>
      <c r="C4" s="86"/>
      <c r="D4" s="86"/>
      <c r="E4" s="87"/>
      <c r="F4" s="8" t="s">
        <v>257</v>
      </c>
      <c r="G4" s="28"/>
      <c r="H4" s="28"/>
      <c r="I4" s="28">
        <f>H4</f>
        <v>0</v>
      </c>
      <c r="J4"/>
      <c r="L4" s="74" t="s">
        <v>290</v>
      </c>
      <c r="M4" s="75"/>
      <c r="N4" s="30" t="e">
        <f>IF(AND($AV$4=0,$AV$7=0,$BV$5=0),AM13,(100-$AV$7-$BV$5)*AM13/SUM($AM$12:$AO$14))</f>
        <v>#N/A</v>
      </c>
      <c r="O4" s="104" t="e">
        <f>ROUND(SUM(N3:N5),0)</f>
        <v>#N/A</v>
      </c>
      <c r="P4" s="71" t="s">
        <v>264</v>
      </c>
      <c r="Q4" s="76"/>
      <c r="R4" s="31">
        <f>S33</f>
        <v>0</v>
      </c>
      <c r="S4" s="35">
        <f t="shared" ref="S4:S5" si="0">R4/1024</f>
        <v>0</v>
      </c>
      <c r="T4"/>
      <c r="V4" s="64" t="s">
        <v>248</v>
      </c>
      <c r="W4" s="65"/>
      <c r="AS4" s="66" t="s">
        <v>367</v>
      </c>
      <c r="AT4" s="81"/>
      <c r="AU4" s="65"/>
      <c r="AV4" s="53">
        <f>IF(OR(AV7=100,BH14=0),0,ROUND(BM13*(1-AV7/1024),0))</f>
        <v>0</v>
      </c>
      <c r="AW4" s="80" t="s">
        <v>368</v>
      </c>
      <c r="AX4" s="81"/>
      <c r="AY4" s="65"/>
      <c r="AZ4" s="9"/>
      <c r="BA4" s="66" t="s">
        <v>360</v>
      </c>
      <c r="BB4" s="160"/>
      <c r="BC4" s="53">
        <f>AZ8</f>
        <v>0</v>
      </c>
      <c r="BQ4" s="66" t="s">
        <v>297</v>
      </c>
      <c r="BR4" s="66"/>
      <c r="BS4" s="66"/>
      <c r="BT4" s="66"/>
      <c r="BU4" s="66"/>
      <c r="BV4" s="55"/>
      <c r="BW4" s="158"/>
      <c r="BX4" s="158"/>
      <c r="BY4" s="66"/>
    </row>
    <row r="5" spans="2:84" ht="16.5" customHeight="1">
      <c r="B5" s="88"/>
      <c r="C5" s="89"/>
      <c r="D5" s="89"/>
      <c r="E5" s="90"/>
      <c r="F5" s="8" t="s">
        <v>239</v>
      </c>
      <c r="G5" s="28"/>
      <c r="H5" s="28"/>
      <c r="I5" s="9">
        <f>H5</f>
        <v>0</v>
      </c>
      <c r="J5"/>
      <c r="L5" s="74" t="s">
        <v>291</v>
      </c>
      <c r="M5" s="75"/>
      <c r="N5" s="32" t="e">
        <f>IF(AND($AV$4=0,$AV$7=0,$BV$5=0),AM14,(100-$AV$7-$BV$5)*AM14/SUM($AM$12:$AO$14))</f>
        <v>#N/A</v>
      </c>
      <c r="O5" s="105"/>
      <c r="P5" s="71" t="s">
        <v>265</v>
      </c>
      <c r="Q5" s="76"/>
      <c r="R5" s="33">
        <f>S13</f>
        <v>0</v>
      </c>
      <c r="S5" s="36">
        <f t="shared" si="0"/>
        <v>0</v>
      </c>
      <c r="T5"/>
      <c r="V5" s="8" t="s">
        <v>249</v>
      </c>
      <c r="W5" s="27" t="e">
        <f>(1/I4)/(1/H4)</f>
        <v>#DIV/0!</v>
      </c>
      <c r="AS5" s="66" t="s">
        <v>369</v>
      </c>
      <c r="AT5" s="81"/>
      <c r="AU5" s="65"/>
      <c r="AV5" s="9"/>
      <c r="AW5" s="66" t="s">
        <v>370</v>
      </c>
      <c r="AX5" s="81"/>
      <c r="AY5" s="65"/>
      <c r="AZ5" s="9">
        <f>ROUND(AT3*AZ3/1024,0)</f>
        <v>0</v>
      </c>
      <c r="BA5" s="74" t="s">
        <v>371</v>
      </c>
      <c r="BB5" s="75"/>
      <c r="BC5" s="53" t="e">
        <f>IF(BC2=1,ROUND(BC8/POWER(10,308/1024),0),IF(BC2=3,BC8,IF(BC4&gt;BC3,BC4,BC3)))</f>
        <v>#N/A</v>
      </c>
      <c r="BQ5" s="74" t="s">
        <v>298</v>
      </c>
      <c r="BR5" s="75"/>
      <c r="BS5" s="9">
        <f>IF(AV4+AV7=100,0,ROUND((100-(AV4+AV7))/100*(BV3/1024)*(BV4/1024)*1024,0))</f>
        <v>0</v>
      </c>
      <c r="BT5" s="74" t="s">
        <v>308</v>
      </c>
      <c r="BU5" s="75"/>
      <c r="BV5" s="58">
        <f>ROUND(BS5/1024*100,0)</f>
        <v>0</v>
      </c>
      <c r="BW5" s="158" t="s">
        <v>322</v>
      </c>
      <c r="BX5" s="158"/>
      <c r="BY5" s="66">
        <f>CB14</f>
        <v>0</v>
      </c>
    </row>
    <row r="6" spans="2:84" ht="16.5" customHeight="1">
      <c r="B6" s="91"/>
      <c r="C6" s="92"/>
      <c r="D6" s="92"/>
      <c r="E6" s="93"/>
      <c r="F6" s="8" t="s">
        <v>237</v>
      </c>
      <c r="G6" s="28"/>
      <c r="H6" s="28"/>
      <c r="I6" s="47">
        <f>H6</f>
        <v>0</v>
      </c>
      <c r="J6" s="48"/>
      <c r="L6" s="64" t="s">
        <v>49</v>
      </c>
      <c r="M6" s="94"/>
      <c r="N6" s="95"/>
      <c r="O6" s="8" t="s">
        <v>7</v>
      </c>
      <c r="P6" s="64" t="s">
        <v>262</v>
      </c>
      <c r="Q6" s="94"/>
      <c r="R6" s="95"/>
      <c r="S6" s="8" t="s">
        <v>7</v>
      </c>
      <c r="T6"/>
      <c r="V6" s="8" t="s">
        <v>250</v>
      </c>
      <c r="W6" s="9" t="e">
        <f>I6/H6</f>
        <v>#DIV/0!</v>
      </c>
      <c r="AS6" s="66" t="s">
        <v>372</v>
      </c>
      <c r="AT6" s="81"/>
      <c r="AU6" s="65"/>
      <c r="AV6" s="9"/>
      <c r="AW6" s="66" t="s">
        <v>373</v>
      </c>
      <c r="AX6" s="81"/>
      <c r="AY6" s="65"/>
      <c r="AZ6" s="9">
        <f>ROUND(AT3*AZ4/1024,0)</f>
        <v>0</v>
      </c>
      <c r="BA6" s="161" t="s">
        <v>374</v>
      </c>
      <c r="BB6" s="162"/>
      <c r="BC6" s="53"/>
      <c r="BQ6" s="70" t="s">
        <v>299</v>
      </c>
      <c r="BR6" s="70"/>
      <c r="BS6" s="9">
        <f>ROUND(BT25/1024*100,0)</f>
        <v>0</v>
      </c>
      <c r="BT6" s="70" t="s">
        <v>300</v>
      </c>
      <c r="BU6" s="70"/>
      <c r="BV6" s="9"/>
      <c r="BW6" s="158"/>
      <c r="BX6" s="158"/>
      <c r="BY6" s="66"/>
    </row>
    <row r="7" spans="2:84" ht="16.5" customHeight="1">
      <c r="B7" s="99" t="s">
        <v>268</v>
      </c>
      <c r="C7" s="99"/>
      <c r="D7" s="99"/>
      <c r="E7" s="102" t="s">
        <v>267</v>
      </c>
      <c r="F7" s="102"/>
      <c r="G7" s="102"/>
      <c r="H7" s="102"/>
      <c r="I7" s="102"/>
      <c r="J7" s="52"/>
      <c r="L7" s="96" t="s">
        <v>39</v>
      </c>
      <c r="M7" s="97"/>
      <c r="N7" s="98"/>
      <c r="O7" s="9">
        <f>R3</f>
        <v>0</v>
      </c>
      <c r="P7" s="66" t="s">
        <v>240</v>
      </c>
      <c r="Q7" s="66"/>
      <c r="R7" s="66"/>
      <c r="S7" s="9" t="e">
        <f>ROUND(R5*AM14/(AM13+AM14)+R4*AM13/(AM13+AM14),0)</f>
        <v>#N/A</v>
      </c>
      <c r="T7"/>
      <c r="V7" s="64" t="s">
        <v>251</v>
      </c>
      <c r="W7" s="64"/>
      <c r="AS7" s="70" t="s">
        <v>375</v>
      </c>
      <c r="AT7" s="81"/>
      <c r="AU7" s="65"/>
      <c r="AV7" s="53">
        <f>IF(AV14=0,0,ROUND(BC13/1024*100,0))</f>
        <v>0</v>
      </c>
      <c r="AW7" s="151" t="s">
        <v>376</v>
      </c>
      <c r="AX7" s="81"/>
      <c r="AY7" s="65"/>
      <c r="AZ7" s="9"/>
      <c r="BA7" s="66" t="s">
        <v>377</v>
      </c>
      <c r="BB7" s="66"/>
      <c r="BC7" s="53"/>
      <c r="BQ7" s="70" t="s">
        <v>301</v>
      </c>
      <c r="BR7" s="70"/>
      <c r="BS7" s="9"/>
      <c r="BT7" s="70" t="s">
        <v>302</v>
      </c>
      <c r="BU7" s="70"/>
      <c r="BV7" s="9"/>
      <c r="BW7" s="158" t="s">
        <v>323</v>
      </c>
      <c r="BX7" s="158"/>
      <c r="BY7" s="66">
        <f>CF14</f>
        <v>0</v>
      </c>
    </row>
    <row r="8" spans="2:84" ht="16.5" customHeight="1">
      <c r="B8" s="100"/>
      <c r="C8" s="100"/>
      <c r="D8" s="100"/>
      <c r="E8" s="103"/>
      <c r="F8" s="103"/>
      <c r="G8" s="103"/>
      <c r="H8" s="103"/>
      <c r="I8" s="103"/>
      <c r="J8" s="52"/>
      <c r="L8" s="80" t="s">
        <v>243</v>
      </c>
      <c r="M8" s="108"/>
      <c r="N8" s="109"/>
      <c r="O8" s="9">
        <f>ROUND(E11*I14/1024,0)</f>
        <v>0</v>
      </c>
      <c r="P8" s="66" t="s">
        <v>242</v>
      </c>
      <c r="Q8" s="66"/>
      <c r="R8" s="66"/>
      <c r="S8" s="9" t="e">
        <f>ROUND(E11*S7/1024,0)</f>
        <v>#N/A</v>
      </c>
      <c r="T8" s="9" t="s">
        <v>343</v>
      </c>
      <c r="V8" s="8" t="s">
        <v>260</v>
      </c>
      <c r="W8" s="20" t="e">
        <f>S9</f>
        <v>#N/A</v>
      </c>
      <c r="AS8" s="70" t="s">
        <v>378</v>
      </c>
      <c r="AT8" s="81"/>
      <c r="AU8" s="65"/>
      <c r="AV8" s="9"/>
      <c r="AW8" s="80" t="s">
        <v>379</v>
      </c>
      <c r="AX8" s="81"/>
      <c r="AY8" s="65"/>
      <c r="AZ8" s="9">
        <f>IFERROR(ROUND(E11*AZ7/AV14,0),0)</f>
        <v>0</v>
      </c>
      <c r="BA8" s="153" t="s">
        <v>380</v>
      </c>
      <c r="BB8" s="154"/>
      <c r="BC8" s="53" t="e">
        <f>ROUND(BC14+AZ9*(1024-BC13)/1024,0)</f>
        <v>#DIV/0!</v>
      </c>
      <c r="BQ8" s="71" t="s">
        <v>303</v>
      </c>
      <c r="BR8" s="72"/>
      <c r="BS8" s="72"/>
      <c r="BT8" s="72"/>
      <c r="BU8" s="73"/>
      <c r="BV8" s="9"/>
      <c r="BW8" s="158"/>
      <c r="BX8" s="158"/>
      <c r="BY8" s="66"/>
    </row>
    <row r="9" spans="2:84" ht="16.5" customHeight="1">
      <c r="B9" s="101"/>
      <c r="C9" s="101"/>
      <c r="D9" s="101"/>
      <c r="E9" s="3">
        <f>IF(E12&gt;=MAX(C17:J17),MAX(C17:J17)-0.1,IF(E12&lt;=C17,C17+0.1,E12))</f>
        <v>-0.1</v>
      </c>
      <c r="J9" s="3"/>
      <c r="L9" s="66" t="s">
        <v>310</v>
      </c>
      <c r="M9" s="66"/>
      <c r="N9" s="66"/>
      <c r="O9" s="57" t="e">
        <f>ROUND((O8*AM12/100)+(S8*(AM13+AM14)/100),0)</f>
        <v>#N/A</v>
      </c>
      <c r="P9" s="67" t="s">
        <v>311</v>
      </c>
      <c r="Q9" s="68"/>
      <c r="R9" s="69"/>
      <c r="S9" s="53" t="e">
        <f>IF(AV14=0,AZ9,BC6)</f>
        <v>#N/A</v>
      </c>
      <c r="T9" s="21" t="e">
        <f>S9/16</f>
        <v>#N/A</v>
      </c>
      <c r="V9" s="8" t="s">
        <v>252</v>
      </c>
      <c r="W9" s="20" t="e">
        <f>S9*W5*W6</f>
        <v>#N/A</v>
      </c>
      <c r="AS9" s="70" t="s">
        <v>381</v>
      </c>
      <c r="AT9" s="81"/>
      <c r="AU9" s="65"/>
      <c r="AV9" s="9"/>
      <c r="AW9" s="66" t="s">
        <v>382</v>
      </c>
      <c r="AX9" s="81"/>
      <c r="AY9" s="65"/>
      <c r="AZ9" s="9" t="e">
        <f>IF(BV5=0,O9,ROUND((O9*(1024-BS5)+BY9*BS5)/1024,0))</f>
        <v>#N/A</v>
      </c>
      <c r="BA9" s="155" t="s">
        <v>383</v>
      </c>
      <c r="BB9" s="155"/>
      <c r="BC9" s="53"/>
      <c r="BQ9" s="70" t="s">
        <v>304</v>
      </c>
      <c r="BR9" s="70"/>
      <c r="BS9" s="9"/>
      <c r="BT9" s="70" t="s">
        <v>305</v>
      </c>
      <c r="BU9" s="70"/>
      <c r="BV9" s="9"/>
      <c r="BW9" s="66" t="s">
        <v>307</v>
      </c>
      <c r="BX9" s="66"/>
      <c r="BY9" s="53">
        <f>MAX(BY3:BY8)</f>
        <v>0</v>
      </c>
    </row>
    <row r="10" spans="2:84">
      <c r="B10" s="64" t="s">
        <v>6</v>
      </c>
      <c r="C10" s="94"/>
      <c r="D10" s="95"/>
      <c r="E10" s="8" t="s">
        <v>7</v>
      </c>
      <c r="F10" s="8" t="s">
        <v>20</v>
      </c>
      <c r="G10" s="9" t="e">
        <f>L19+L20-O20</f>
        <v>#DIV/0!</v>
      </c>
      <c r="H10" s="9" t="e">
        <f>M19+M20-P20</f>
        <v>#DIV/0!</v>
      </c>
      <c r="I10" s="9" t="e">
        <f>N19+N20-Q20</f>
        <v>#DIV/0!</v>
      </c>
      <c r="L10" s="3">
        <f>IF(O12&gt;=MAX(M17:T17),MAX(M17:T17)-0.1,IF(O12&lt;=M17,M17+0.1,O12))</f>
        <v>-0.1</v>
      </c>
      <c r="M10" s="3">
        <f>IF(O13&gt;=MAX(M18:T18),MAX(M18:T18)-0.1,IF(O13&lt;=M18,M18+0.1,O13))</f>
        <v>-0.1</v>
      </c>
      <c r="T10"/>
      <c r="V10" s="3">
        <f>IF(E12&gt;=AA17,AA17-0.1,IF(E12&lt;=W17,W17+0.1,E12))</f>
        <v>-0.1</v>
      </c>
      <c r="W10" s="3">
        <f>IF(AA13&gt;=AG18,AG18-0.1,IF(AA13&lt;=W18,W18+0.1,AA13))</f>
        <v>-0.1</v>
      </c>
      <c r="AS10" s="3">
        <f>IF(AV12&gt;=MAX(AT29:BC29),MAX(AT29:BC29)-0.1,IF(AV12&lt;=AT29,AT29+0.1,AV12))</f>
        <v>-0.1</v>
      </c>
      <c r="AT10" s="3">
        <f>IF(AV13&gt;=MAX(AT30:BC30),MAX(AT30:BC30)-0.1,IF(AV13&lt;=AT30,AT30+0.1,AV13))</f>
        <v>-0.1</v>
      </c>
      <c r="AU10" s="3">
        <f>IF(AV12&gt;=MAX(AT47:BC47),MAX(AT47:BC47)-0.1,IF(AV12&lt;=AT47,AT47+0.1,AV12))</f>
        <v>-0.1</v>
      </c>
      <c r="AV10" s="3">
        <f>IF(AV13&gt;=MAX(AT48:BC48),MAX(AT48:BC48)-0.1,IF(AV13&lt;=AT48,AT48+0.1,AV13))</f>
        <v>-0.1</v>
      </c>
      <c r="AX10" s="159" t="s">
        <v>384</v>
      </c>
      <c r="AY10" s="159"/>
      <c r="AZ10" s="159"/>
      <c r="BA10" s="159"/>
      <c r="BB10" s="159"/>
      <c r="BC10" s="159"/>
      <c r="BD10" s="159"/>
      <c r="BE10" s="159"/>
      <c r="BF10" s="159"/>
      <c r="BG10" s="159"/>
      <c r="BH10" s="159"/>
      <c r="BI10" s="159"/>
      <c r="BJ10" s="159"/>
      <c r="BL10" s="3">
        <f>IF(BH12&gt;=MAX(BF23:BO23),MAX(BF23:BO23)-0.1,IF(BH12&lt;=BF23,BF23+0.1,BH12))</f>
        <v>-0.1</v>
      </c>
      <c r="BM10" s="3">
        <f>IF(BH13&gt;=MAX(BF24:BO24),MAX(BF24:BO24)-0.1,IF(BH13&lt;=BF24,BF24+0.1,BH13))</f>
        <v>-0.1</v>
      </c>
      <c r="BN10" s="3">
        <f>IF(BH12&gt;=MAX(BF41:BO41),MAX(BF41:BO41)-0.1,IF(BH12&lt;=BF41,BF41+0.1,BH12))</f>
        <v>-0.1</v>
      </c>
      <c r="BO10" s="3">
        <f>IF(BH13&gt;=MAX(BF42:BO42),MAX(BF42:BO42)-0.1,IF(BH13&lt;=BF42,BF42+0.1,BH13))</f>
        <v>-0.1</v>
      </c>
      <c r="BQ10" s="3">
        <f>IF(BT12&gt;=MAX(BR18:BY18),MAX(BR18:BY18)-0.1,IF(BT12&lt;=BR18,BR18+0.1,BT12))</f>
        <v>-0.1</v>
      </c>
      <c r="BV10" s="3">
        <f>ROUND(ROUND((BV3/1024)*(BV4/1024)*1024,0)/1024*100,0)/100</f>
        <v>0</v>
      </c>
    </row>
    <row r="11" spans="2:84">
      <c r="B11" s="70" t="s">
        <v>241</v>
      </c>
      <c r="C11" s="81"/>
      <c r="D11" s="65"/>
      <c r="E11" s="9"/>
      <c r="F11" s="80" t="s">
        <v>41</v>
      </c>
      <c r="G11" s="108"/>
      <c r="H11" s="109"/>
      <c r="I11" s="9" t="e">
        <f>ROUND(G22+((G23-G22)*($E$9-$E$22)/($E$23-$E$22)),0)</f>
        <v>#N/A</v>
      </c>
      <c r="J11" s="25"/>
      <c r="L11" s="64" t="s">
        <v>6</v>
      </c>
      <c r="M11" s="94"/>
      <c r="N11" s="95"/>
      <c r="O11" s="8" t="s">
        <v>7</v>
      </c>
      <c r="P11" s="64" t="s">
        <v>6</v>
      </c>
      <c r="Q11" s="94"/>
      <c r="R11" s="95"/>
      <c r="S11" s="8" t="s">
        <v>7</v>
      </c>
      <c r="T11"/>
      <c r="V11" s="112" t="s">
        <v>32</v>
      </c>
      <c r="W11" s="113"/>
      <c r="X11" s="113"/>
      <c r="Y11" s="113"/>
      <c r="Z11" s="114"/>
      <c r="AA11" s="64" t="s">
        <v>29</v>
      </c>
      <c r="AB11" s="64"/>
      <c r="AC11" s="64"/>
      <c r="AD11" s="64" t="s">
        <v>32</v>
      </c>
      <c r="AE11" s="64"/>
      <c r="AF11" s="64"/>
      <c r="AG11" s="64"/>
      <c r="AH11" s="64"/>
      <c r="AI11" s="64"/>
      <c r="AJ11" s="64"/>
      <c r="AK11" s="64"/>
      <c r="AL11" s="64"/>
      <c r="AM11" s="64" t="s">
        <v>29</v>
      </c>
      <c r="AN11" s="64"/>
      <c r="AO11" s="64"/>
      <c r="AS11" s="64" t="s">
        <v>6</v>
      </c>
      <c r="AT11" s="81"/>
      <c r="AU11" s="65"/>
      <c r="AV11" s="8" t="s">
        <v>7</v>
      </c>
      <c r="AW11" s="67" t="s">
        <v>385</v>
      </c>
      <c r="AX11" s="81"/>
      <c r="AY11" s="9"/>
      <c r="AZ11" s="59" t="s">
        <v>347</v>
      </c>
      <c r="BA11" s="9">
        <f>IFERROR(ROUND((AY13*AY12)/AY11,0),0)</f>
        <v>0</v>
      </c>
      <c r="BB11" s="9" t="s">
        <v>386</v>
      </c>
      <c r="BC11" s="9">
        <f>IFERROR(IF(BA11&gt;=AY13,AY13,MAX(BA11,AY13,AY14)),0)</f>
        <v>0</v>
      </c>
      <c r="BE11" s="112" t="s">
        <v>6</v>
      </c>
      <c r="BF11" s="113"/>
      <c r="BG11" s="114"/>
      <c r="BH11" s="8" t="s">
        <v>7</v>
      </c>
      <c r="BI11" s="67" t="s">
        <v>387</v>
      </c>
      <c r="BJ11" s="69"/>
      <c r="BK11" s="9"/>
      <c r="BL11" s="59" t="s">
        <v>347</v>
      </c>
      <c r="BM11" s="9">
        <f>IFERROR(ROUND((BK13*BK12)/BK11,0),0)</f>
        <v>0</v>
      </c>
      <c r="BN11" s="59" t="s">
        <v>388</v>
      </c>
      <c r="BO11" s="9" t="e">
        <f>ROUND(E11*BO13/BH14,0)</f>
        <v>#DIV/0!</v>
      </c>
      <c r="BQ11" s="64" t="s">
        <v>6</v>
      </c>
      <c r="BR11" s="94"/>
      <c r="BS11" s="95"/>
      <c r="BT11" s="8" t="s">
        <v>7</v>
      </c>
      <c r="BU11" s="64" t="s">
        <v>319</v>
      </c>
      <c r="BV11" s="64"/>
      <c r="BW11" s="64"/>
      <c r="BX11" s="8" t="s">
        <v>29</v>
      </c>
      <c r="BY11" s="64" t="s">
        <v>318</v>
      </c>
      <c r="BZ11" s="64"/>
      <c r="CA11" s="64"/>
      <c r="CB11" s="8" t="s">
        <v>29</v>
      </c>
      <c r="CC11" s="64" t="s">
        <v>344</v>
      </c>
      <c r="CD11" s="64"/>
      <c r="CE11" s="64"/>
      <c r="CF11" s="8" t="s">
        <v>29</v>
      </c>
    </row>
    <row r="12" spans="2:84">
      <c r="B12" s="70" t="s">
        <v>8</v>
      </c>
      <c r="C12" s="110"/>
      <c r="D12" s="111"/>
      <c r="E12" s="9"/>
      <c r="F12" s="80" t="s">
        <v>42</v>
      </c>
      <c r="G12" s="108"/>
      <c r="H12" s="109"/>
      <c r="I12" s="9" t="e">
        <f>ROUND(I22+((I23-I22)*($E$9-$E$22)/($E$23-$E$22)),0)</f>
        <v>#N/A</v>
      </c>
      <c r="J12" s="25"/>
      <c r="L12" s="70" t="s">
        <v>8</v>
      </c>
      <c r="M12" s="110"/>
      <c r="N12" s="111"/>
      <c r="O12" s="9">
        <f>E12</f>
        <v>0</v>
      </c>
      <c r="P12" s="70" t="s">
        <v>23</v>
      </c>
      <c r="Q12" s="110"/>
      <c r="R12" s="111"/>
      <c r="S12" s="9" t="e">
        <f>ROUND((R51+((S51-R51)*(M10-R50)/(S50-R50)))+(((R52+((S52-R52)*(M10-R50)/(S50-R50)))-(R51+((S51-R51)*(M10-R50)/(S50-R50))))*(L10-O51)/(O52-O51)),0)</f>
        <v>#N/A</v>
      </c>
      <c r="T12"/>
      <c r="V12" s="70" t="s">
        <v>8</v>
      </c>
      <c r="W12" s="70"/>
      <c r="X12" s="70"/>
      <c r="Y12" s="70"/>
      <c r="Z12" s="70"/>
      <c r="AA12" s="66">
        <f>E12</f>
        <v>0</v>
      </c>
      <c r="AB12" s="66"/>
      <c r="AC12" s="66"/>
      <c r="AD12" s="66" t="s">
        <v>33</v>
      </c>
      <c r="AE12" s="66"/>
      <c r="AF12" s="66"/>
      <c r="AG12" s="66"/>
      <c r="AH12" s="66"/>
      <c r="AI12" s="66"/>
      <c r="AJ12" s="66"/>
      <c r="AK12" s="66"/>
      <c r="AL12" s="66"/>
      <c r="AM12" s="107" t="e">
        <f>P61+((P62-P61)*(V10-$O$58)/($O$59-$O$58))</f>
        <v>#N/A</v>
      </c>
      <c r="AN12" s="107"/>
      <c r="AO12" s="107"/>
      <c r="AS12" s="70" t="s">
        <v>8</v>
      </c>
      <c r="AT12" s="81"/>
      <c r="AU12" s="65"/>
      <c r="AV12" s="9">
        <f>E12</f>
        <v>0</v>
      </c>
      <c r="AW12" s="67" t="s">
        <v>389</v>
      </c>
      <c r="AX12" s="81"/>
      <c r="AY12" s="9"/>
      <c r="AZ12" s="9" t="s">
        <v>390</v>
      </c>
      <c r="BA12" s="9"/>
      <c r="BB12" s="9" t="s">
        <v>391</v>
      </c>
      <c r="BC12" s="9">
        <f>IF(AZ15=BA15,BB15,IF(BA12&lt;=AU16,AU17,IF(BA12&gt;MAX(Z47:AQ47),_xlfn.XLOOKUP(MAX(Z47:AQ47),Z47:AQ47,Z48:AQ48),ROUND(BB15+(BC15-BB15)*(BA12-AZ15)/(BA15-AZ15),0))))</f>
        <v>0</v>
      </c>
      <c r="BE12" s="71" t="s">
        <v>8</v>
      </c>
      <c r="BF12" s="72"/>
      <c r="BG12" s="73"/>
      <c r="BH12" s="9">
        <f>E12</f>
        <v>0</v>
      </c>
      <c r="BI12" s="67" t="s">
        <v>392</v>
      </c>
      <c r="BJ12" s="69"/>
      <c r="BK12" s="9"/>
      <c r="BL12" s="41" t="s">
        <v>350</v>
      </c>
      <c r="BM12" s="9"/>
      <c r="BN12" s="12" t="s">
        <v>351</v>
      </c>
      <c r="BO12" s="40">
        <f>IFERROR(IF(BM12&gt;=BK13,BK13,MAX(BM12,BK13,BK14)),0)</f>
        <v>0</v>
      </c>
      <c r="BQ12" s="70" t="s">
        <v>8</v>
      </c>
      <c r="BR12" s="81"/>
      <c r="BS12" s="65"/>
      <c r="BT12" s="9">
        <f>E12</f>
        <v>0</v>
      </c>
      <c r="BU12" s="42" t="s">
        <v>316</v>
      </c>
      <c r="BV12" s="9" t="e">
        <f>ROUND(BX27+((BX28-BX27)*(BT12-BT27)/(BT28-BT27)),0)</f>
        <v>#N/A</v>
      </c>
      <c r="BW12" s="42" t="s">
        <v>324</v>
      </c>
      <c r="BX12" s="9" t="e">
        <f>ROUND(BV12-((BV12-BT14)*BT25/1024),0)</f>
        <v>#N/A</v>
      </c>
      <c r="BY12" s="42" t="s">
        <v>321</v>
      </c>
      <c r="BZ12" s="9" t="e">
        <f>ROUND(BV27+((BV28-BV27)*(BT12-BT27)/(BT28-BT27)),0)</f>
        <v>#N/A</v>
      </c>
      <c r="CA12" s="42" t="s">
        <v>320</v>
      </c>
      <c r="CB12" s="9" t="e">
        <f>IF(BY22=0,ROUND(BZ12-((BZ12-BT14)*BT25/1024),0),ROUND(ROUND(BZ12-((BZ12-BT14)*BT25/1024),0)-(ROUND(BZ12-((BZ12-BT14)*BT25/1024),0)-BT14)*BY25/1024,0))</f>
        <v>#N/A</v>
      </c>
      <c r="CC12" s="54" t="s">
        <v>325</v>
      </c>
      <c r="CD12" s="55"/>
      <c r="CE12" s="55" t="s">
        <v>326</v>
      </c>
      <c r="CF12" s="9"/>
    </row>
    <row r="13" spans="2:84">
      <c r="B13" s="115" t="s">
        <v>48</v>
      </c>
      <c r="C13" s="116"/>
      <c r="D13" s="117"/>
      <c r="E13" s="56"/>
      <c r="F13" s="96" t="s">
        <v>40</v>
      </c>
      <c r="G13" s="97"/>
      <c r="H13" s="98"/>
      <c r="I13" s="9" t="e">
        <f>ROUND(I11*(2^(I12/1000*E13/1024)),0)</f>
        <v>#N/A</v>
      </c>
      <c r="J13" s="25"/>
      <c r="L13" s="70" t="s">
        <v>352</v>
      </c>
      <c r="M13" s="110"/>
      <c r="N13" s="111"/>
      <c r="O13" s="56"/>
      <c r="P13" s="70" t="s">
        <v>24</v>
      </c>
      <c r="Q13" s="110"/>
      <c r="R13" s="111"/>
      <c r="S13" s="9">
        <f>IFERROR(ROUND(S12/O14*1024,0),0)</f>
        <v>0</v>
      </c>
      <c r="V13" s="70" t="s">
        <v>30</v>
      </c>
      <c r="W13" s="70"/>
      <c r="X13" s="70"/>
      <c r="Y13" s="70"/>
      <c r="Z13" s="70"/>
      <c r="AA13" s="127"/>
      <c r="AB13" s="127"/>
      <c r="AC13" s="127"/>
      <c r="AD13" s="66" t="s">
        <v>34</v>
      </c>
      <c r="AE13" s="66"/>
      <c r="AF13" s="66"/>
      <c r="AG13" s="66"/>
      <c r="AH13" s="66"/>
      <c r="AI13" s="66"/>
      <c r="AJ13" s="66"/>
      <c r="AK13" s="66"/>
      <c r="AL13" s="66"/>
      <c r="AM13" s="107" t="e">
        <f>R61+((R62-R61)*(V10-$O$58)/($O$59-$O$58))</f>
        <v>#N/A</v>
      </c>
      <c r="AN13" s="107"/>
      <c r="AO13" s="107"/>
      <c r="AS13" s="70" t="s">
        <v>393</v>
      </c>
      <c r="AT13" s="81"/>
      <c r="AU13" s="65"/>
      <c r="AV13" s="56">
        <f>IFERROR(ROUND((LOG(AY11,2)-LOG(AV14,2))*1000,0),0)</f>
        <v>0</v>
      </c>
      <c r="AW13" s="67" t="s">
        <v>394</v>
      </c>
      <c r="AX13" s="81"/>
      <c r="AY13" s="9" t="e">
        <f>IF(BV10=0,AS79,ROUND(AS79*(1-BV10)+AS87*BV10,0))</f>
        <v>#N/A</v>
      </c>
      <c r="AZ13" s="9" t="s">
        <v>348</v>
      </c>
      <c r="BA13" s="9"/>
      <c r="BB13" s="9" t="s">
        <v>349</v>
      </c>
      <c r="BC13" s="9">
        <f>IF(AZ21=BA21,BB21,IF(BA13&lt;=AU22,AU23,IF(BA13&gt;MAX(Z39:AQ39),_xlfn.XLOOKUP(MAX(Z39:AQ39),Z39:AQ39,Z40:AQ40),ROUND(BB21+(BC21-BB21)*(BA13-AZ21)/(BA21-AZ21),0))))</f>
        <v>0</v>
      </c>
      <c r="BE13" s="71" t="s">
        <v>395</v>
      </c>
      <c r="BF13" s="72"/>
      <c r="BG13" s="73"/>
      <c r="BH13" s="56">
        <f>IFERROR(ROUND((LOG(BK11,2)-LOG(BH14,2))*1000,0),0)</f>
        <v>0</v>
      </c>
      <c r="BI13" s="67" t="s">
        <v>396</v>
      </c>
      <c r="BJ13" s="69"/>
      <c r="BK13" s="9" t="e">
        <f>IF(BV10=0,AS83,ROUND(AS83*(1-BV10)+AS91*BV10,0))</f>
        <v>#N/A</v>
      </c>
      <c r="BL13" s="42" t="s">
        <v>286</v>
      </c>
      <c r="BM13" s="9">
        <f>IF(BA13=0,0,IF(BH16=0,BF15*BG15/1024,BN15*BO15/1024))</f>
        <v>0</v>
      </c>
      <c r="BN13" s="9" t="s">
        <v>397</v>
      </c>
      <c r="BO13" s="9">
        <f>ROUND(BO12*BC12/1024,0)</f>
        <v>0</v>
      </c>
      <c r="BQ13" s="66" t="s">
        <v>353</v>
      </c>
      <c r="BR13" s="66"/>
      <c r="BS13" s="66"/>
      <c r="BT13" s="9"/>
      <c r="BU13" s="74" t="s">
        <v>354</v>
      </c>
      <c r="BV13" s="76"/>
      <c r="BW13" s="75"/>
      <c r="BX13" s="9"/>
      <c r="BY13" s="67" t="s">
        <v>355</v>
      </c>
      <c r="BZ13" s="68"/>
      <c r="CA13" s="69"/>
      <c r="CB13" s="9"/>
      <c r="CC13" s="67" t="s">
        <v>356</v>
      </c>
      <c r="CD13" s="68"/>
      <c r="CE13" s="69"/>
      <c r="CF13" s="9"/>
    </row>
    <row r="14" spans="2:84">
      <c r="B14" s="70" t="s">
        <v>9</v>
      </c>
      <c r="C14" s="110"/>
      <c r="D14" s="111"/>
      <c r="E14" s="9"/>
      <c r="F14" s="96" t="s">
        <v>39</v>
      </c>
      <c r="G14" s="97"/>
      <c r="H14" s="98"/>
      <c r="I14" s="9">
        <f>IFERROR(ROUND(I13/E14*1024,0),0)</f>
        <v>0</v>
      </c>
      <c r="J14" s="25"/>
      <c r="L14" s="70" t="s">
        <v>247</v>
      </c>
      <c r="M14" s="110"/>
      <c r="N14" s="111"/>
      <c r="O14" s="9"/>
      <c r="T14" s="3">
        <f>IF(AA14&gt;=MAX(W19:AI19),MAX(W19:AI19)-0.1,IF(AA14&lt;=W19,W19+0.1,AA14))</f>
        <v>-0.1</v>
      </c>
      <c r="V14" s="70" t="s">
        <v>31</v>
      </c>
      <c r="W14" s="70"/>
      <c r="X14" s="70"/>
      <c r="Y14" s="70"/>
      <c r="Z14" s="70"/>
      <c r="AA14" s="127"/>
      <c r="AB14" s="127"/>
      <c r="AC14" s="127"/>
      <c r="AD14" s="66" t="s">
        <v>35</v>
      </c>
      <c r="AE14" s="66"/>
      <c r="AF14" s="66"/>
      <c r="AG14" s="66"/>
      <c r="AH14" s="66"/>
      <c r="AI14" s="66"/>
      <c r="AJ14" s="66"/>
      <c r="AK14" s="66"/>
      <c r="AL14" s="66"/>
      <c r="AM14" s="107" t="e">
        <f>S61+((S62-S61)*(V10-$O$58)/($O$59-$O$58))</f>
        <v>#N/A</v>
      </c>
      <c r="AN14" s="107"/>
      <c r="AO14" s="107"/>
      <c r="AS14" s="70" t="s">
        <v>398</v>
      </c>
      <c r="AT14" s="81"/>
      <c r="AU14" s="65"/>
      <c r="AV14" s="9"/>
      <c r="AW14" s="67" t="s">
        <v>399</v>
      </c>
      <c r="AX14" s="81"/>
      <c r="AY14" s="9" t="e">
        <f>AY13</f>
        <v>#N/A</v>
      </c>
      <c r="AZ14" s="9" t="s">
        <v>357</v>
      </c>
      <c r="BA14" s="62">
        <f>ROUND(BC11*BC12/1024,0)</f>
        <v>0</v>
      </c>
      <c r="BB14" s="63" t="s">
        <v>358</v>
      </c>
      <c r="BC14" s="60" t="e">
        <f>ROUND((E11*BA14/AV14),0)</f>
        <v>#DIV/0!</v>
      </c>
      <c r="BE14" s="71" t="s">
        <v>400</v>
      </c>
      <c r="BF14" s="72"/>
      <c r="BG14" s="73"/>
      <c r="BH14" s="9"/>
      <c r="BI14" s="67" t="s">
        <v>401</v>
      </c>
      <c r="BJ14" s="69"/>
      <c r="BK14" s="9" t="e">
        <f>BK13</f>
        <v>#N/A</v>
      </c>
      <c r="BL14" s="106" t="s">
        <v>361</v>
      </c>
      <c r="BM14" s="156"/>
      <c r="BN14" s="157"/>
      <c r="BO14" s="9" t="e">
        <f>IF(AV14=0,AZ9,ROUND((BO11)*BM13/1024+AZ9*(1024-BM13)/1024,0))</f>
        <v>#N/A</v>
      </c>
      <c r="BQ14" s="66" t="s">
        <v>315</v>
      </c>
      <c r="BR14" s="66"/>
      <c r="BS14" s="66"/>
      <c r="BT14" s="9"/>
      <c r="BU14" s="66" t="s">
        <v>306</v>
      </c>
      <c r="BV14" s="66"/>
      <c r="BW14" s="66"/>
      <c r="BX14" s="9">
        <f>IFERROR(ROUND(E11*BX12/BX13,0),0)</f>
        <v>0</v>
      </c>
      <c r="BY14" s="66" t="s">
        <v>322</v>
      </c>
      <c r="BZ14" s="66"/>
      <c r="CA14" s="66"/>
      <c r="CB14" s="9">
        <f>IFERROR(ROUND(E11*CB12/CB13,0),0)</f>
        <v>0</v>
      </c>
      <c r="CC14" s="66" t="s">
        <v>323</v>
      </c>
      <c r="CD14" s="66"/>
      <c r="CE14" s="66"/>
      <c r="CF14" s="9">
        <f>IFERROR(IF(ROUND(E11*CD12/CF13,0)&lt;CD12,CD12,IF(ROUND(E11*CD12/CF13,0)&gt;CF12,CF12,ROUND(E11*CD12/CF13,0))),0)</f>
        <v>0</v>
      </c>
    </row>
    <row r="15" spans="2:84">
      <c r="B15" s="11" t="s">
        <v>16</v>
      </c>
      <c r="C15" s="11">
        <v>1</v>
      </c>
      <c r="D15" s="11">
        <v>2</v>
      </c>
      <c r="E15" s="11">
        <v>3</v>
      </c>
      <c r="F15" s="11">
        <v>4</v>
      </c>
      <c r="G15" s="11">
        <v>5</v>
      </c>
      <c r="H15" s="11">
        <v>6</v>
      </c>
      <c r="I15" s="11">
        <v>7</v>
      </c>
      <c r="J15" s="11">
        <v>8</v>
      </c>
      <c r="L15" s="3" t="s">
        <v>16</v>
      </c>
      <c r="M15" s="11">
        <v>1</v>
      </c>
      <c r="N15" s="11">
        <v>2</v>
      </c>
      <c r="O15" s="11">
        <v>3</v>
      </c>
      <c r="P15" s="11">
        <v>4</v>
      </c>
      <c r="Q15" s="11">
        <v>5</v>
      </c>
      <c r="R15" s="11">
        <v>6</v>
      </c>
      <c r="S15" s="11">
        <v>7</v>
      </c>
      <c r="T15" s="11">
        <v>8</v>
      </c>
      <c r="V15" s="3" t="s">
        <v>16</v>
      </c>
      <c r="W15" s="11">
        <v>1</v>
      </c>
      <c r="X15" s="121">
        <v>2</v>
      </c>
      <c r="Y15" s="126"/>
      <c r="Z15" s="126"/>
      <c r="AA15" s="121">
        <v>3</v>
      </c>
      <c r="AB15" s="126"/>
      <c r="AC15" s="126"/>
      <c r="AD15" s="121">
        <v>4</v>
      </c>
      <c r="AE15" s="126"/>
      <c r="AF15" s="126"/>
      <c r="AG15" s="121">
        <v>5</v>
      </c>
      <c r="AH15" s="126"/>
      <c r="AI15" s="126"/>
      <c r="AS15"/>
      <c r="AU15" s="3"/>
      <c r="AV15" s="3"/>
      <c r="AW15" s="3"/>
      <c r="AX15" s="3"/>
      <c r="AY15" s="3"/>
      <c r="AZ15" s="3">
        <f>MAX(Z49:AQ49)</f>
        <v>0</v>
      </c>
      <c r="BA15" s="3">
        <f>MIN(Z50:AQ50)</f>
        <v>0</v>
      </c>
      <c r="BB15" s="3">
        <f>_xlfn.XLOOKUP(AZ15,Z47:AQ47,Z48:AQ48)</f>
        <v>0</v>
      </c>
      <c r="BC15" s="3">
        <f>_xlfn.XLOOKUP(BA15,Z47:AQ47,Z48:AQ48)</f>
        <v>0</v>
      </c>
      <c r="BF15" s="3">
        <f>IF(BA13&lt;=BG17,BG18,IF(BA13&gt;BH17,BH18,INT(BG18+(BH18-BG18)*(BA13-BG17)/(BH17-BG17))))</f>
        <v>0</v>
      </c>
      <c r="BG15" s="3">
        <f>IF(BM12&lt;=BG19,BG20,IF(BM12&gt;BH19,BH20,INT(BG20+(BH20-BG20)*(BM12-BG20)/(BH19-BG20))))</f>
        <v>0</v>
      </c>
      <c r="BH15" s="3">
        <f>IF(Y44=6,MAX(Z44:AE44),IF(Y44=5,MAX(Z44:AD44),IF(Y44=4,MAX(Z44:AC44),IF(Y44=3,MAX(Z44:AB44),MAX(Z44:AA44)))))</f>
        <v>0</v>
      </c>
      <c r="BI15" s="3">
        <f>IF(Y44=6,MIN(Z45:AE45),IF(Y44=5,MIN(Z45:AD45),IF(Y44=4,MIN(Z45:AC45),IF(Y44=3,MIN(Z45:AB45),MIN(Z45:AA45)))))</f>
        <v>0</v>
      </c>
      <c r="BJ15" s="3">
        <f>IF(BH12&lt;=BJ16,BJ17,IF(BH12&gt;MAX(BJ16:BO16),_xlfn.XLOOKUP(MAX(BJ16:BO16),BJ16:BO16,BJ17:BO17),_xlfn.XLOOKUP(BH15,BJ16:BO16,BJ17:BO17)+(_xlfn.XLOOKUP(BI15,BJ16:BO16,BJ17:BO17)-_xlfn.XLOOKUP(BH15,BJ16:BO16,BJ17:BO17))*(BH12-BH15)/(BI15-BH15)))</f>
        <v>0</v>
      </c>
      <c r="BK15" s="3">
        <f>IF(BH12&lt;=BJ16,BJ18,IF(BH12&gt;MAX(BJ16:BO16),_xlfn.XLOOKUP(MAX(BJ16:BO16),BJ16:BO16,BJ18:BO18),_xlfn.XLOOKUP(BH15,BJ16:BO16,BJ18:BO18)+(_xlfn.XLOOKUP(BI15,BJ16:BO16,BJ18:BO18)-_xlfn.XLOOKUP(BH15,BJ16:BO16,BJ18:BO18))*(BH12-BH15)/(BI15-BH15)))</f>
        <v>0</v>
      </c>
      <c r="BL15" s="3">
        <f>IF(BH12&lt;=BJ16,BJ19,IF(BH12&gt;MAX(BJ16:BO16),_xlfn.XLOOKUP(MAX(BJ16:BO16),BJ16:BO16,BJ19:BO19),_xlfn.XLOOKUP(BH15,BJ16:BO16,BJ19:BO19)+(_xlfn.XLOOKUP(BI15,BJ16:BO16,BJ19:BO19)-_xlfn.XLOOKUP(BH15,BJ16:BO16,BJ19:BO19))*(BH12-BH15)/(BI15-BH15)))</f>
        <v>0</v>
      </c>
      <c r="BM15" s="3">
        <f>IF(BH12&lt;=BJ16,BJ19,IF(BH12&gt;MAX(BJ16:BO16),_xlfn.XLOOKUP(MAX(BJ16:BO16),BJ16:BO16,BJ20:BO20),_xlfn.XLOOKUP(BH15,BJ16:BO16,BJ20:BO20)+(_xlfn.XLOOKUP(BI15,BJ16:BO16,BJ20:BO20)-_xlfn.XLOOKUP(BH15,BJ16:BO16,BJ20:BO20))*(BH12-BH15)/(BI15-BH15)))</f>
        <v>0</v>
      </c>
      <c r="BN15" s="3" t="e">
        <f>BJ15+(BK15-BJ15)*(BA13-BG17)/(BH17-BG17)</f>
        <v>#DIV/0!</v>
      </c>
      <c r="BO15" s="3" t="e">
        <f>BL15+(BM15-BL15)*(BM12-BG19)/(BH19-BG19)</f>
        <v>#DIV/0!</v>
      </c>
      <c r="BQ15" s="3" t="s">
        <v>16</v>
      </c>
      <c r="BR15" s="11">
        <v>1</v>
      </c>
      <c r="BS15" s="11">
        <v>2</v>
      </c>
      <c r="BT15" s="11">
        <v>3</v>
      </c>
      <c r="BU15" s="11">
        <v>4</v>
      </c>
      <c r="BV15" s="11">
        <v>5</v>
      </c>
      <c r="BW15" s="11">
        <v>6</v>
      </c>
      <c r="BX15" s="11">
        <v>7</v>
      </c>
      <c r="BY15" s="11">
        <v>8</v>
      </c>
    </row>
    <row r="16" spans="2:84" ht="16.5" customHeight="1">
      <c r="B16" s="8" t="s">
        <v>38</v>
      </c>
      <c r="C16" s="9"/>
      <c r="D16" s="9"/>
      <c r="E16" s="64" t="s">
        <v>0</v>
      </c>
      <c r="F16" s="64"/>
      <c r="G16" s="64"/>
      <c r="H16" s="64"/>
      <c r="I16" s="64"/>
      <c r="J16" s="64"/>
      <c r="L16" s="64" t="s">
        <v>19</v>
      </c>
      <c r="M16" s="125"/>
      <c r="N16" s="125"/>
      <c r="O16" s="125"/>
      <c r="P16" s="125"/>
      <c r="Q16" s="125"/>
      <c r="R16" s="125"/>
      <c r="S16" s="125"/>
      <c r="T16" s="125"/>
      <c r="V16" s="149" t="s">
        <v>27</v>
      </c>
      <c r="W16" s="150"/>
      <c r="X16" s="150"/>
      <c r="Y16" s="150"/>
      <c r="Z16" s="150"/>
      <c r="AA16" s="150"/>
      <c r="AB16" s="76"/>
      <c r="AC16" s="76"/>
      <c r="AD16" s="76"/>
      <c r="AE16" s="76"/>
      <c r="AF16" s="76"/>
      <c r="AG16" s="76"/>
      <c r="AH16" s="76"/>
      <c r="AI16" s="75"/>
      <c r="AJ16" s="3" t="e">
        <f>IF($V$10&lt;$X$17,VLOOKUP($S$58,$W$23:$AQ$27,2+(($M$61-1)*4),FALSE),VLOOKUP($S$58,$W$28:$AQ$32,2+(($M$61-1)*4),FALSE))</f>
        <v>#N/A</v>
      </c>
      <c r="AK16" s="3" t="e">
        <f>IF($V$10&lt;$X$17,VLOOKUP($S$58,$W$23:$AQ$27,3+(($M$61-1)*4),FALSE),VLOOKUP($S$58,$W$28:$AQ$32,3+(($M$61-1)*4),FALSE))</f>
        <v>#N/A</v>
      </c>
      <c r="AL16" s="3" t="e">
        <f>IF($V$10&lt;$X$17,VLOOKUP($S$58,$W$23:$AQ$27,4+(($M$61-1)*4),FALSE),VLOOKUP($S$58,$W$28:$AQ$32,4+(($M$61-1)*4),FALSE))</f>
        <v>#N/A</v>
      </c>
      <c r="AM16" s="3" t="e">
        <f>IF($V$10&lt;$X$17,VLOOKUP($S$58,$W$23:$AQ$27,5+(($M$61-1)*4),FALSE),VLOOKUP($S$58,$W$28:$AQ$32,5+(($M$61-1)*4),FALSE))</f>
        <v>#N/A</v>
      </c>
      <c r="AN16" s="3" t="e">
        <f>IF($V$10&lt;$X$17,VLOOKUP($S$58,$W$23:$AQ$27,2+(($M$62-1)*4),FALSE),VLOOKUP($S$58,$W$28:$AQ$32,2+(($M$62-1)*4),FALSE))</f>
        <v>#N/A</v>
      </c>
      <c r="AO16" s="3" t="e">
        <f>IF($V$10&lt;$X$17,VLOOKUP($S$58,$W$23:$AQ$27,3+(($M$62-1)*4),FALSE),VLOOKUP($S$58,$W$28:$AQ$32,3+(($M$62-1)*4),FALSE))</f>
        <v>#N/A</v>
      </c>
      <c r="AP16" s="3" t="e">
        <f>IF($V$10&lt;$X$17,VLOOKUP($S$58,$W$23:$AQ$27,4+(($M$62-1)*4),FALSE),VLOOKUP($S$58,$W$28:$AQ$32,4+(($M$62-1)*4),FALSE))</f>
        <v>#N/A</v>
      </c>
      <c r="AQ16" s="3" t="e">
        <f>IF($V$10&lt;$X$17,VLOOKUP($S$58,$W$23:$AQ$27,5+(($M$62-1)*4),FALSE),VLOOKUP($S$58,$W$28:$AQ$32,5+(($M$62-1)*4),FALSE))</f>
        <v>#N/A</v>
      </c>
      <c r="AS16" s="152" t="s">
        <v>345</v>
      </c>
      <c r="AT16" s="9" t="s">
        <v>346</v>
      </c>
      <c r="AU16" s="9"/>
      <c r="AV16" s="9"/>
      <c r="AW16" s="9"/>
      <c r="AX16" s="9"/>
      <c r="AY16" s="9"/>
      <c r="AZ16" s="9"/>
      <c r="BA16" s="9"/>
      <c r="BB16" s="9"/>
      <c r="BC16" s="9"/>
      <c r="BE16" s="134" t="s">
        <v>277</v>
      </c>
      <c r="BF16" s="74" t="s">
        <v>289</v>
      </c>
      <c r="BG16" s="75"/>
      <c r="BH16" s="9"/>
      <c r="BI16" s="9" t="s">
        <v>20</v>
      </c>
      <c r="BJ16" s="9"/>
      <c r="BK16" s="9"/>
      <c r="BL16" s="9"/>
      <c r="BM16" s="9"/>
      <c r="BN16" s="9"/>
      <c r="BO16" s="9"/>
      <c r="BQ16" s="128" t="s">
        <v>317</v>
      </c>
      <c r="BR16" s="129"/>
      <c r="BS16" s="129"/>
      <c r="BT16" s="129"/>
      <c r="BU16" s="129"/>
      <c r="BV16" s="129"/>
      <c r="BW16" s="129"/>
      <c r="BX16" s="129"/>
      <c r="BY16" s="130"/>
      <c r="BZ16"/>
      <c r="CA16"/>
    </row>
    <row r="17" spans="2:79">
      <c r="B17" s="8" t="s">
        <v>1</v>
      </c>
      <c r="C17" s="9"/>
      <c r="D17" s="9"/>
      <c r="E17" s="9"/>
      <c r="F17" s="9"/>
      <c r="G17" s="9"/>
      <c r="H17" s="9"/>
      <c r="I17" s="9"/>
      <c r="J17" s="9"/>
      <c r="L17" s="46" t="s">
        <v>20</v>
      </c>
      <c r="M17" s="1"/>
      <c r="N17" s="17"/>
      <c r="O17" s="17"/>
      <c r="P17" s="17"/>
      <c r="Q17" s="17"/>
      <c r="R17" s="17"/>
      <c r="S17" s="17"/>
      <c r="T17" s="18"/>
      <c r="V17" s="10" t="s">
        <v>20</v>
      </c>
      <c r="W17" s="1"/>
      <c r="X17" s="138"/>
      <c r="Y17" s="139"/>
      <c r="Z17" s="139"/>
      <c r="AA17" s="138"/>
      <c r="AB17" s="139"/>
      <c r="AC17" s="139"/>
      <c r="AD17" s="138"/>
      <c r="AE17" s="139"/>
      <c r="AF17" s="139"/>
      <c r="AG17" s="143"/>
      <c r="AH17" s="139"/>
      <c r="AI17" s="144"/>
      <c r="AJ17" s="3" t="e">
        <f>IF($V$10&lt;$X$17,VLOOKUP($S$59,$W$23:$AQ$27,2+(($M$61-1)*4),FALSE),VLOOKUP($S$59,$W$28:$AQ$32,2+(($M$61-1)*4),FALSE))</f>
        <v>#N/A</v>
      </c>
      <c r="AK17" s="3" t="e">
        <f>IF($V$10&lt;$X$17,VLOOKUP($S$58,$W$23:$AQ$27,3+(($M$61-1)*4),FALSE),VLOOKUP($S$58,$W$28:$AQ$32,3+(($M$61-1)*4),FALSE))</f>
        <v>#N/A</v>
      </c>
      <c r="AL17" s="3" t="e">
        <f>IF($V$10&lt;$X$17,VLOOKUP($S$59,$W$23:$AQ$27,4+(($M$61-1)*4),FALSE),VLOOKUP($S$59,$W$28:$AQ$32,4+(($M$61-1)*4),FALSE))</f>
        <v>#N/A</v>
      </c>
      <c r="AM17" s="3" t="e">
        <f>IF($V$10&lt;$X$17,VLOOKUP($S$59,$W$23:$AQ$27,5+(($M$61-1)*4),FALSE),VLOOKUP($S$59,$W$28:$AQ$32,5+(($M$61-1)*4),FALSE))</f>
        <v>#N/A</v>
      </c>
      <c r="AN17" s="3" t="e">
        <f>IF($V$10&lt;$X$17,VLOOKUP($S$59,$W$23:$AQ$27,2+(($M$62-1)*4),FALSE),VLOOKUP($S$59,$W$28:$AQ$32,2+(($M$62-1)*4),FALSE))</f>
        <v>#N/A</v>
      </c>
      <c r="AO17" s="3" t="e">
        <f>IF($V$10&lt;$X$17,VLOOKUP($S$59,$W$23:$AQ$27,3+(($M$62-1)*4),FALSE),VLOOKUP($S$59,$W$28:$AQ$32,3+(($M$62-1)*4),FALSE))</f>
        <v>#N/A</v>
      </c>
      <c r="AP17" s="3" t="e">
        <f>IF($V$10&lt;$X$17,VLOOKUP($S$59,$W$23:$AQ$27,4+(($M$62-1)*4),FALSE),VLOOKUP($S$59,$W$28:$AQ$32,4+(($M$62-1)*4),FALSE))</f>
        <v>#N/A</v>
      </c>
      <c r="AQ17" s="3" t="e">
        <f>IF($V$10&lt;$X$17,VLOOKUP($S$59,$W$23:$AQ$27,5+(($M$62-1)*4),FALSE),VLOOKUP($S$59,$W$28:$AQ$32,5+(($M$62-1)*4),FALSE))</f>
        <v>#N/A</v>
      </c>
      <c r="AS17" s="64"/>
      <c r="AT17" s="9" t="s">
        <v>274</v>
      </c>
      <c r="AU17" s="9"/>
      <c r="AV17" s="9"/>
      <c r="AW17" s="9"/>
      <c r="AX17" s="9"/>
      <c r="AY17" s="9"/>
      <c r="AZ17" s="9"/>
      <c r="BA17" s="9"/>
      <c r="BB17" s="9"/>
      <c r="BC17" s="9"/>
      <c r="BE17" s="135"/>
      <c r="BF17" s="9" t="s">
        <v>278</v>
      </c>
      <c r="BG17" s="9"/>
      <c r="BH17" s="9"/>
      <c r="BI17" s="9" t="s">
        <v>282</v>
      </c>
      <c r="BJ17" s="9"/>
      <c r="BK17" s="9"/>
      <c r="BL17" s="9"/>
      <c r="BM17" s="9"/>
      <c r="BN17" s="9"/>
      <c r="BO17" s="9"/>
      <c r="BQ17" s="131"/>
      <c r="BR17" s="132"/>
      <c r="BS17" s="132"/>
      <c r="BT17" s="132"/>
      <c r="BU17" s="132"/>
      <c r="BV17" s="132"/>
      <c r="BW17" s="132"/>
      <c r="BX17" s="132"/>
      <c r="BY17" s="133"/>
      <c r="BZ17"/>
    </row>
    <row r="18" spans="2:79">
      <c r="B18" s="10" t="s">
        <v>2</v>
      </c>
      <c r="C18" s="1"/>
      <c r="D18" s="17"/>
      <c r="E18" s="17"/>
      <c r="F18" s="17"/>
      <c r="G18" s="17"/>
      <c r="H18" s="17"/>
      <c r="I18" s="17"/>
      <c r="J18" s="18"/>
      <c r="L18" s="10" t="s">
        <v>21</v>
      </c>
      <c r="M18" s="5"/>
      <c r="N18" s="15"/>
      <c r="O18" s="15"/>
      <c r="P18" s="15"/>
      <c r="Q18" s="15"/>
      <c r="R18" s="15"/>
      <c r="S18" s="15"/>
      <c r="T18" s="16"/>
      <c r="V18" s="10" t="s">
        <v>21</v>
      </c>
      <c r="W18" s="2"/>
      <c r="X18" s="126"/>
      <c r="Y18" s="140"/>
      <c r="Z18" s="140"/>
      <c r="AA18" s="126"/>
      <c r="AB18" s="140"/>
      <c r="AC18" s="140"/>
      <c r="AD18" s="126"/>
      <c r="AE18" s="140"/>
      <c r="AF18" s="140"/>
      <c r="AG18" s="145"/>
      <c r="AH18" s="140"/>
      <c r="AI18" s="146"/>
      <c r="AJ18" s="3" t="e">
        <f>IF($V$10&gt;$X$17,VLOOKUP($S$58,$W$33:$AQ$37,2+(($M$61-1)*4),FALSE),VLOOKUP($S$58,$W$28:$AQ$32,2+(($M$61-1)*4),FALSE))</f>
        <v>#N/A</v>
      </c>
      <c r="AK18" s="3" t="e">
        <f>IF($V$10&gt;$X$17,VLOOKUP($S$58,$W$33:$AQ$37,3+(($M$61-1)*4),FALSE),VLOOKUP($S$58,$W$28:$AQ$32,3+(($M$61-1)*4),FALSE))</f>
        <v>#N/A</v>
      </c>
      <c r="AL18" s="3" t="e">
        <f>IF($AA$12&gt;$X$17,VLOOKUP($S$58,$W$33:$AQ$37,4+(($M$61-1)*4),FALSE),VLOOKUP($S$58,$W$28:$AQ$32,4+(($M$61-1)*4),FALSE))</f>
        <v>#N/A</v>
      </c>
      <c r="AM18" s="3" t="e">
        <f>IF($V$10&gt;$X$17,VLOOKUP($S$58,$W$33:$AQ$37,5+(($M$61-1)*4),FALSE),VLOOKUP($S$58,$W$28:$AQ$32,5+(($M$61-1)*4),FALSE))</f>
        <v>#N/A</v>
      </c>
      <c r="AN18" s="3" t="e">
        <f>IF($V$10&gt;$X$17,VLOOKUP($S$58,$W$33:$AQ$37,2+(($M$62-1)*4),FALSE),VLOOKUP($S$58,$W$28:$AQ$32,2+(($M$62-1)*4),FALSE))</f>
        <v>#N/A</v>
      </c>
      <c r="AO18" s="3" t="e">
        <f>IF($V$10&gt;$X$17,VLOOKUP($S$58,$W$33:$AQ$37,3+(($M$62-1)*4),FALSE),VLOOKUP($S$58,$W$28:$AQ$32,3+(($M$62-1)*4),FALSE))</f>
        <v>#N/A</v>
      </c>
      <c r="AP18" s="3" t="e">
        <f>IF($V$10&gt;$X$17,VLOOKUP($S$58,$W$33:$AQ$37,4+(($M$62-1)*4),FALSE),VLOOKUP($S$58,$W$28:$AQ$32,4+(($M$62-1)*4),FALSE))</f>
        <v>#N/A</v>
      </c>
      <c r="AQ18" s="3" t="e">
        <f>IF($V$10&gt;$X$17,VLOOKUP($S$58,$W$33:$AQ$37,5+(($M$62-1)*4),FALSE),VLOOKUP($S$58,$W$28:$AQ$32,5+(($M$62-1)*4),FALSE))</f>
        <v>#N/A</v>
      </c>
      <c r="AS18" s="64"/>
      <c r="AT18" s="9" t="s">
        <v>346</v>
      </c>
      <c r="AU18" s="9"/>
      <c r="AV18" s="9"/>
      <c r="AW18" s="9"/>
      <c r="AX18" s="9"/>
      <c r="AY18" s="9"/>
      <c r="AZ18" s="9"/>
      <c r="BA18" s="9"/>
      <c r="BB18" s="9"/>
      <c r="BC18" s="9"/>
      <c r="BE18" s="135"/>
      <c r="BF18" s="12" t="s">
        <v>279</v>
      </c>
      <c r="BG18" s="9"/>
      <c r="BH18" s="9"/>
      <c r="BI18" s="9" t="s">
        <v>283</v>
      </c>
      <c r="BJ18" s="9"/>
      <c r="BK18" s="9"/>
      <c r="BL18" s="9"/>
      <c r="BM18" s="9"/>
      <c r="BN18" s="9"/>
      <c r="BO18" s="9"/>
      <c r="BQ18" s="10" t="s">
        <v>1</v>
      </c>
      <c r="BR18" s="40"/>
      <c r="BS18" s="40"/>
      <c r="BT18" s="40"/>
      <c r="BU18" s="40"/>
      <c r="BV18" s="40"/>
      <c r="BW18" s="40"/>
      <c r="BX18" s="40"/>
      <c r="BY18" s="40"/>
      <c r="BZ18"/>
    </row>
    <row r="19" spans="2:79">
      <c r="B19" s="10" t="s">
        <v>3</v>
      </c>
      <c r="C19" s="5"/>
      <c r="D19" s="15"/>
      <c r="E19" s="15"/>
      <c r="F19" s="15"/>
      <c r="G19" s="15"/>
      <c r="H19" s="15"/>
      <c r="I19" s="15"/>
      <c r="J19" s="16"/>
      <c r="L19" s="3" t="e">
        <f>-LOG(1/G4,2)</f>
        <v>#DIV/0!</v>
      </c>
      <c r="M19" s="3" t="e">
        <f>-LOG(1/H4,2)</f>
        <v>#DIV/0!</v>
      </c>
      <c r="N19" s="3" t="e">
        <f>-LOG(1/I4,2)</f>
        <v>#DIV/0!</v>
      </c>
      <c r="V19" s="10" t="s">
        <v>28</v>
      </c>
      <c r="W19" s="5"/>
      <c r="X19" s="141"/>
      <c r="Y19" s="142"/>
      <c r="Z19" s="142"/>
      <c r="AA19" s="141"/>
      <c r="AB19" s="142"/>
      <c r="AC19" s="142"/>
      <c r="AD19" s="141"/>
      <c r="AE19" s="142"/>
      <c r="AF19" s="142"/>
      <c r="AG19" s="147"/>
      <c r="AH19" s="142"/>
      <c r="AI19" s="148"/>
      <c r="AJ19" s="3" t="e">
        <f>IF($V$10&gt;$X$17,VLOOKUP($S$59,$W$33:$AQ$37,2+(($M$61-1)*4),FALSE),VLOOKUP($S$59,$W$28:$AQ$32,2+(($M$61-1)*4),FALSE))</f>
        <v>#N/A</v>
      </c>
      <c r="AK19" s="3" t="e">
        <f>IF($V$10&gt;$X$17,VLOOKUP($S$59,$W$33:$AQ$37,3+(($M$61-1)*4),FALSE),VLOOKUP($S$59,$W$28:$AQ$32,3+(($M$61-1)*4),FALSE))</f>
        <v>#N/A</v>
      </c>
      <c r="AL19" s="3" t="e">
        <f>IF($V$10&gt;$X$17,VLOOKUP($S$59,$W$33:$AQ$37,4+(($M$61-1)*4),FALSE),VLOOKUP($S$59,$W$28:$AQ$32,4+(($M$61-1)*4),FALSE))</f>
        <v>#N/A</v>
      </c>
      <c r="AM19" s="3" t="e">
        <f>IF($V$10&gt;$X$17,VLOOKUP($S$59,$W$33:$AQ$37,5+(($M$61-1)*4),FALSE),VLOOKUP($S$59,$W$28:$AQ$32,5+(($M$61-1)*4),FALSE))</f>
        <v>#N/A</v>
      </c>
      <c r="AN19" s="3" t="e">
        <f>IF($V$10&gt;$X$17,VLOOKUP($S$59,$W$33:$AQ$37,2+(($M$62-1)*4),FALSE),VLOOKUP($S$59,$W$28:$AQ$32,2+(($M$62-1)*4),FALSE))</f>
        <v>#N/A</v>
      </c>
      <c r="AO19" s="3" t="e">
        <f>IF($V$10&gt;$X$17,VLOOKUP($S$59,$W$33:$AQ$37,3+(($M$62-1)*4),FALSE),VLOOKUP($S$59,$W$28:$AQ$32,3+(($M$62-1)*4),FALSE))</f>
        <v>#N/A</v>
      </c>
      <c r="AP19" s="3" t="e">
        <f>IF($V$10&gt;$X$17,VLOOKUP($S$59,$W$33:$AQ$37,4+(($M$62-1)*4),FALSE),VLOOKUP($S$59,$W$28:$AQ$32,4+(($M$62-1)*4),FALSE))</f>
        <v>#N/A</v>
      </c>
      <c r="AQ19" s="3" t="e">
        <f>IF($V$10&gt;$X$17,VLOOKUP($S$59,$W$33:$AQ$37,5+(($M$62-1)*4),FALSE),VLOOKUP($S$59,$W$28:$AQ$32,5+(($M$62-1)*4),FALSE))</f>
        <v>#N/A</v>
      </c>
      <c r="AS19" s="64"/>
      <c r="AT19" s="9" t="s">
        <v>274</v>
      </c>
      <c r="AU19" s="9"/>
      <c r="AV19" s="9"/>
      <c r="AW19" s="9"/>
      <c r="AX19" s="9"/>
      <c r="AY19" s="9"/>
      <c r="AZ19" s="9"/>
      <c r="BA19" s="9"/>
      <c r="BB19" s="9"/>
      <c r="BC19" s="9"/>
      <c r="BE19" s="135"/>
      <c r="BF19" s="9" t="s">
        <v>280</v>
      </c>
      <c r="BG19" s="9"/>
      <c r="BH19" s="9"/>
      <c r="BI19" s="9" t="s">
        <v>284</v>
      </c>
      <c r="BJ19" s="9"/>
      <c r="BK19" s="9"/>
      <c r="BL19" s="9"/>
      <c r="BM19" s="9"/>
      <c r="BN19" s="9"/>
      <c r="BO19" s="9"/>
      <c r="BQ19" s="10" t="s">
        <v>312</v>
      </c>
      <c r="BR19" s="1"/>
      <c r="BS19" s="17"/>
      <c r="BT19" s="17"/>
      <c r="BU19" s="17"/>
      <c r="BV19" s="17"/>
      <c r="BW19" s="17"/>
      <c r="BX19" s="17"/>
      <c r="BY19" s="18"/>
      <c r="BZ19"/>
      <c r="CA19"/>
    </row>
    <row r="20" spans="2:79">
      <c r="B20" s="10" t="s">
        <v>4</v>
      </c>
      <c r="C20" s="7">
        <f>C18*(2^(C19/1000*0/1024))</f>
        <v>0</v>
      </c>
      <c r="D20" s="7">
        <f t="shared" ref="D20:J20" si="1">D18*(2^(D19/1000*0/1024))</f>
        <v>0</v>
      </c>
      <c r="E20" s="7">
        <f t="shared" si="1"/>
        <v>0</v>
      </c>
      <c r="F20" s="7">
        <f t="shared" si="1"/>
        <v>0</v>
      </c>
      <c r="G20" s="7">
        <f t="shared" si="1"/>
        <v>0</v>
      </c>
      <c r="H20" s="7">
        <f t="shared" si="1"/>
        <v>0</v>
      </c>
      <c r="I20" s="7">
        <f t="shared" si="1"/>
        <v>0</v>
      </c>
      <c r="J20" s="7">
        <f t="shared" si="1"/>
        <v>0</v>
      </c>
      <c r="L20" s="3" t="e">
        <f>2*LOG(G5,2)</f>
        <v>#NUM!</v>
      </c>
      <c r="M20" s="3" t="e">
        <f>2*LOG(H5,2)</f>
        <v>#NUM!</v>
      </c>
      <c r="N20" s="3" t="e">
        <f>2*LOG(I5,2)</f>
        <v>#NUM!</v>
      </c>
      <c r="O20" s="3" t="e">
        <f>LOG(G3*G6/3.125,2)</f>
        <v>#NUM!</v>
      </c>
      <c r="P20" s="3" t="e">
        <f>LOG(H3*H6/3.125,2)</f>
        <v>#NUM!</v>
      </c>
      <c r="Q20" s="3" t="e">
        <f>LOG(I3*I6/3.125,2)</f>
        <v>#NUM!</v>
      </c>
      <c r="AS20" s="3" t="s">
        <v>16</v>
      </c>
      <c r="AT20" s="11">
        <v>1</v>
      </c>
      <c r="AU20" s="11">
        <v>2</v>
      </c>
      <c r="AV20" s="11">
        <v>3</v>
      </c>
      <c r="AW20" s="11">
        <v>4</v>
      </c>
      <c r="AX20" s="11">
        <v>5</v>
      </c>
      <c r="AY20" s="11">
        <v>6</v>
      </c>
      <c r="AZ20" s="11">
        <v>7</v>
      </c>
      <c r="BA20" s="11">
        <v>8</v>
      </c>
      <c r="BB20" s="11">
        <v>9</v>
      </c>
      <c r="BC20" s="11">
        <v>10</v>
      </c>
      <c r="BE20" s="136"/>
      <c r="BF20" s="9" t="s">
        <v>281</v>
      </c>
      <c r="BG20" s="9"/>
      <c r="BH20" s="9"/>
      <c r="BI20" s="9" t="s">
        <v>285</v>
      </c>
      <c r="BJ20" s="9"/>
      <c r="BK20" s="9"/>
      <c r="BL20" s="9"/>
      <c r="BM20" s="9"/>
      <c r="BN20" s="9"/>
      <c r="BO20" s="9"/>
      <c r="BQ20" s="10" t="s">
        <v>313</v>
      </c>
      <c r="BR20" s="5"/>
      <c r="BS20" s="15"/>
      <c r="BT20" s="15"/>
      <c r="BU20" s="15"/>
      <c r="BV20" s="15"/>
      <c r="BW20" s="15"/>
      <c r="BX20" s="15"/>
      <c r="BY20" s="16"/>
      <c r="BZ20"/>
      <c r="CA20"/>
    </row>
    <row r="21" spans="2:79">
      <c r="B21" s="8" t="s">
        <v>5</v>
      </c>
      <c r="C21" s="7">
        <f>C18*(2^(C19/1000*1024/1024))</f>
        <v>0</v>
      </c>
      <c r="D21" s="7">
        <f t="shared" ref="D21:J21" si="2">D18*(2^(D19/1000*1024/1024))</f>
        <v>0</v>
      </c>
      <c r="E21" s="7">
        <f t="shared" si="2"/>
        <v>0</v>
      </c>
      <c r="F21" s="7">
        <f t="shared" si="2"/>
        <v>0</v>
      </c>
      <c r="G21" s="7">
        <f t="shared" si="2"/>
        <v>0</v>
      </c>
      <c r="H21" s="7">
        <f t="shared" si="2"/>
        <v>0</v>
      </c>
      <c r="I21" s="7">
        <f t="shared" si="2"/>
        <v>0</v>
      </c>
      <c r="J21" s="7">
        <f t="shared" si="2"/>
        <v>0</v>
      </c>
      <c r="L21" s="8" t="s">
        <v>22</v>
      </c>
      <c r="M21" s="40">
        <f t="shared" ref="M21:R21" si="3">M$18</f>
        <v>0</v>
      </c>
      <c r="N21" s="40">
        <f t="shared" si="3"/>
        <v>0</v>
      </c>
      <c r="O21" s="40">
        <f t="shared" si="3"/>
        <v>0</v>
      </c>
      <c r="P21" s="40">
        <f t="shared" si="3"/>
        <v>0</v>
      </c>
      <c r="Q21" s="40">
        <f t="shared" si="3"/>
        <v>0</v>
      </c>
      <c r="R21" s="40">
        <f t="shared" si="3"/>
        <v>0</v>
      </c>
      <c r="S21" s="40">
        <f>S$18</f>
        <v>0</v>
      </c>
      <c r="T21" s="40">
        <f>T$18</f>
        <v>0</v>
      </c>
      <c r="V21" s="64" t="s">
        <v>20</v>
      </c>
      <c r="W21" s="64" t="s">
        <v>21</v>
      </c>
      <c r="X21" s="64" t="s">
        <v>28</v>
      </c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S21"/>
      <c r="AU21" s="3"/>
      <c r="AV21" s="3"/>
      <c r="AW21" s="3"/>
      <c r="AX21" s="3"/>
      <c r="AY21" s="3"/>
      <c r="AZ21" s="3">
        <f>MAX(Z41:AQ41)</f>
        <v>0</v>
      </c>
      <c r="BA21" s="3">
        <f>MIN(Z42:AQ42)</f>
        <v>0</v>
      </c>
      <c r="BB21" s="3">
        <f>_xlfn.XLOOKUP(AZ21,Z39:AQ39,Z40:AQ40)</f>
        <v>0</v>
      </c>
      <c r="BC21" s="3">
        <f>_xlfn.XLOOKUP(BA21,Z39:AQ39,Z40:AQ40)</f>
        <v>0</v>
      </c>
      <c r="BE21" s="3" t="s">
        <v>16</v>
      </c>
      <c r="BF21" s="11">
        <v>1</v>
      </c>
      <c r="BG21" s="11">
        <v>2</v>
      </c>
      <c r="BH21" s="11">
        <v>3</v>
      </c>
      <c r="BI21" s="11">
        <v>4</v>
      </c>
      <c r="BJ21" s="11">
        <v>5</v>
      </c>
      <c r="BK21" s="11">
        <v>6</v>
      </c>
      <c r="BL21" s="11">
        <v>7</v>
      </c>
      <c r="BM21" s="11">
        <v>8</v>
      </c>
      <c r="BN21" s="11">
        <v>9</v>
      </c>
      <c r="BO21" s="11">
        <v>10</v>
      </c>
    </row>
    <row r="22" spans="2:79">
      <c r="B22" s="3" t="s">
        <v>17</v>
      </c>
      <c r="C22" s="11" t="e">
        <f>_xlfn.XLOOKUP(E22,C17:J17,C15:J15)</f>
        <v>#N/A</v>
      </c>
      <c r="D22" s="11" t="s">
        <v>10</v>
      </c>
      <c r="E22" s="11" t="e">
        <f>HLOOKUP(ROUNDUP(E9,1),C17:J17,1,TRUE)</f>
        <v>#N/A</v>
      </c>
      <c r="F22" s="11" t="s">
        <v>12</v>
      </c>
      <c r="G22" s="11" t="e">
        <f>HLOOKUP(E22,C17:J19,2,TRUE)</f>
        <v>#N/A</v>
      </c>
      <c r="H22" s="11" t="s">
        <v>14</v>
      </c>
      <c r="I22" s="11" t="e">
        <f>HLOOKUP(E22,C17:J19,3,TRUE)</f>
        <v>#N/A</v>
      </c>
      <c r="J22" s="11"/>
      <c r="L22" s="39">
        <f>M17</f>
        <v>0</v>
      </c>
      <c r="M22" s="1"/>
      <c r="N22" s="17"/>
      <c r="O22" s="17"/>
      <c r="P22" s="17"/>
      <c r="Q22" s="17"/>
      <c r="R22" s="17"/>
      <c r="S22" s="17"/>
      <c r="T22" s="18"/>
      <c r="V22" s="64"/>
      <c r="W22" s="64"/>
      <c r="X22" s="137">
        <f>W19</f>
        <v>0</v>
      </c>
      <c r="Y22" s="137"/>
      <c r="Z22" s="137"/>
      <c r="AA22" s="137"/>
      <c r="AB22" s="137">
        <f>X19</f>
        <v>0</v>
      </c>
      <c r="AC22" s="137"/>
      <c r="AD22" s="137"/>
      <c r="AE22" s="137"/>
      <c r="AF22" s="137">
        <f>AA19</f>
        <v>0</v>
      </c>
      <c r="AG22" s="137"/>
      <c r="AH22" s="137"/>
      <c r="AI22" s="137"/>
      <c r="AJ22" s="137">
        <f>AD19</f>
        <v>0</v>
      </c>
      <c r="AK22" s="137"/>
      <c r="AL22" s="137"/>
      <c r="AM22" s="137"/>
      <c r="AN22" s="137">
        <f>AG19</f>
        <v>0</v>
      </c>
      <c r="AO22" s="137"/>
      <c r="AP22" s="137"/>
      <c r="AQ22" s="137"/>
      <c r="AS22" s="152" t="s">
        <v>273</v>
      </c>
      <c r="AT22" s="9" t="s">
        <v>272</v>
      </c>
      <c r="AU22" s="9"/>
      <c r="AV22" s="9"/>
      <c r="AW22" s="9"/>
      <c r="AX22" s="9"/>
      <c r="AY22" s="9"/>
      <c r="AZ22" s="9"/>
      <c r="BA22" s="9"/>
      <c r="BB22" s="9"/>
      <c r="BC22" s="9"/>
      <c r="BE22" s="112" t="s">
        <v>275</v>
      </c>
      <c r="BF22" s="113"/>
      <c r="BG22" s="113"/>
      <c r="BH22" s="113"/>
      <c r="BI22" s="113"/>
      <c r="BJ22" s="113"/>
      <c r="BK22" s="113"/>
      <c r="BL22" s="113"/>
      <c r="BM22" s="113"/>
      <c r="BN22" s="113"/>
      <c r="BO22" s="114"/>
      <c r="BQ22" s="64" t="s">
        <v>338</v>
      </c>
      <c r="BR22" s="64"/>
      <c r="BS22" s="64"/>
      <c r="BT22" s="8" t="s">
        <v>29</v>
      </c>
      <c r="BU22" s="64" t="s">
        <v>331</v>
      </c>
      <c r="BV22" s="64"/>
      <c r="BW22" s="64"/>
      <c r="BX22" s="8" t="s">
        <v>332</v>
      </c>
      <c r="BY22" s="9"/>
    </row>
    <row r="23" spans="2:79">
      <c r="B23" s="11" t="s">
        <v>18</v>
      </c>
      <c r="C23" s="11" t="e">
        <f>C22+1</f>
        <v>#N/A</v>
      </c>
      <c r="D23" s="11" t="s">
        <v>11</v>
      </c>
      <c r="E23" s="11" t="e">
        <f>_xlfn.XLOOKUP(C23,C15:J15,C17:J17)</f>
        <v>#N/A</v>
      </c>
      <c r="F23" s="11" t="s">
        <v>13</v>
      </c>
      <c r="G23" s="11" t="e">
        <f>HLOOKUP(E23,C17:J19,2,TRUE)</f>
        <v>#N/A</v>
      </c>
      <c r="H23" s="11" t="s">
        <v>15</v>
      </c>
      <c r="I23" s="11" t="e">
        <f>HLOOKUP(E23,C17:J19,3,TRUE)</f>
        <v>#N/A</v>
      </c>
      <c r="J23" s="11"/>
      <c r="L23" s="39">
        <f>N17</f>
        <v>0</v>
      </c>
      <c r="M23" s="2"/>
      <c r="T23" s="14"/>
      <c r="V23" s="66">
        <f>W17</f>
        <v>0</v>
      </c>
      <c r="W23" s="39">
        <f>$W$18</f>
        <v>0</v>
      </c>
      <c r="X23" s="1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8"/>
      <c r="AS23" s="64"/>
      <c r="AT23" s="9" t="s">
        <v>274</v>
      </c>
      <c r="AU23" s="9"/>
      <c r="AV23" s="9"/>
      <c r="AW23" s="9"/>
      <c r="AX23" s="9"/>
      <c r="AY23" s="9"/>
      <c r="AZ23" s="9"/>
      <c r="BA23" s="9"/>
      <c r="BB23" s="9"/>
      <c r="BC23" s="9"/>
      <c r="BE23" s="10" t="s">
        <v>20</v>
      </c>
      <c r="BF23" s="1"/>
      <c r="BG23" s="17"/>
      <c r="BH23" s="17"/>
      <c r="BI23" s="17"/>
      <c r="BJ23" s="17"/>
      <c r="BK23" s="17"/>
      <c r="BL23" s="17"/>
      <c r="BM23" s="17"/>
      <c r="BN23" s="17"/>
      <c r="BO23" s="18"/>
      <c r="BQ23" s="9" t="s">
        <v>339</v>
      </c>
      <c r="BR23" s="9"/>
      <c r="BS23" s="9" t="s">
        <v>341</v>
      </c>
      <c r="BT23" s="9"/>
      <c r="BU23" s="9" t="s">
        <v>333</v>
      </c>
      <c r="BV23" s="9"/>
      <c r="BW23" s="74" t="s">
        <v>335</v>
      </c>
      <c r="BX23" s="75"/>
      <c r="BY23" s="9"/>
    </row>
    <row r="24" spans="2:79">
      <c r="L24" s="39">
        <f>O17</f>
        <v>0</v>
      </c>
      <c r="M24" s="2"/>
      <c r="T24" s="14"/>
      <c r="V24" s="66"/>
      <c r="W24" s="39">
        <f>$X$18</f>
        <v>0</v>
      </c>
      <c r="X24" s="2"/>
      <c r="AQ24" s="14"/>
      <c r="AS24" s="64"/>
      <c r="AT24" s="9" t="s">
        <v>272</v>
      </c>
      <c r="AU24" s="9"/>
      <c r="AV24" s="9"/>
      <c r="AW24" s="9"/>
      <c r="AX24" s="9"/>
      <c r="AY24" s="9"/>
      <c r="AZ24" s="9"/>
      <c r="BA24" s="9"/>
      <c r="BB24" s="9"/>
      <c r="BC24" s="9"/>
      <c r="BE24" s="10" t="s">
        <v>269</v>
      </c>
      <c r="BF24" s="5"/>
      <c r="BG24" s="15"/>
      <c r="BH24" s="15"/>
      <c r="BI24" s="15"/>
      <c r="BJ24" s="15"/>
      <c r="BK24" s="15"/>
      <c r="BL24" s="15"/>
      <c r="BM24" s="15"/>
      <c r="BN24" s="15"/>
      <c r="BO24" s="16"/>
      <c r="BQ24" s="9" t="s">
        <v>340</v>
      </c>
      <c r="BR24" s="9"/>
      <c r="BS24" s="9" t="s">
        <v>342</v>
      </c>
      <c r="BT24" s="9"/>
      <c r="BU24" s="9" t="s">
        <v>334</v>
      </c>
      <c r="BV24" s="9"/>
      <c r="BW24" s="74" t="s">
        <v>336</v>
      </c>
      <c r="BX24" s="75"/>
      <c r="BY24" s="9"/>
    </row>
    <row r="25" spans="2:79">
      <c r="L25" s="39">
        <f>P17</f>
        <v>0</v>
      </c>
      <c r="M25" s="2"/>
      <c r="T25" s="14"/>
      <c r="V25" s="66"/>
      <c r="W25" s="39">
        <f>$AA$18</f>
        <v>0</v>
      </c>
      <c r="X25" s="2"/>
      <c r="AQ25" s="14"/>
      <c r="AS25" s="64"/>
      <c r="AT25" s="9" t="s">
        <v>274</v>
      </c>
      <c r="AU25" s="9"/>
      <c r="AV25" s="9"/>
      <c r="AW25" s="9"/>
      <c r="AX25" s="9"/>
      <c r="AY25" s="9"/>
      <c r="AZ25" s="9"/>
      <c r="BA25" s="9"/>
      <c r="BB25" s="9"/>
      <c r="BC25" s="9"/>
      <c r="BQ25" s="66" t="s">
        <v>314</v>
      </c>
      <c r="BR25" s="66"/>
      <c r="BS25" s="66"/>
      <c r="BT25" s="9">
        <f>IF(BT13&lt;=BR23,BT23,IF(BT13&gt;BR24,BT24,ROUND(BT24+((BT23-BT24)*(BR24-BT13)/(BR24-BR23)),0)))</f>
        <v>0</v>
      </c>
      <c r="BU25" s="66" t="s">
        <v>337</v>
      </c>
      <c r="BV25" s="66"/>
      <c r="BW25" s="66"/>
      <c r="BX25" s="66"/>
      <c r="BY25" s="9">
        <f>IF(BT12&lt;=BV23,BY23,IF(BT12&gt;BV24,BY24,ROUND(BY24+((BY23-BY24)*(BV24-BT12)/(BV24-BV23)),0)))</f>
        <v>0</v>
      </c>
    </row>
    <row r="26" spans="2:79">
      <c r="L26" s="39">
        <f>Q17</f>
        <v>0</v>
      </c>
      <c r="M26" s="2"/>
      <c r="T26" s="14"/>
      <c r="V26" s="66"/>
      <c r="W26" s="39">
        <f>$AD$18</f>
        <v>0</v>
      </c>
      <c r="X26" s="2"/>
      <c r="AQ26" s="14"/>
      <c r="AS26" s="3" t="s">
        <v>16</v>
      </c>
      <c r="AT26" s="11">
        <v>1</v>
      </c>
      <c r="AU26" s="11">
        <v>2</v>
      </c>
      <c r="AV26" s="11">
        <v>3</v>
      </c>
      <c r="AW26" s="11">
        <v>4</v>
      </c>
      <c r="AX26" s="11">
        <v>5</v>
      </c>
      <c r="AY26" s="11">
        <v>6</v>
      </c>
      <c r="AZ26" s="11">
        <v>7</v>
      </c>
      <c r="BA26" s="11">
        <v>8</v>
      </c>
      <c r="BB26" s="11">
        <v>9</v>
      </c>
      <c r="BC26" s="11">
        <v>10</v>
      </c>
    </row>
    <row r="27" spans="2:79">
      <c r="L27" s="39">
        <f>R17</f>
        <v>0</v>
      </c>
      <c r="M27" s="2"/>
      <c r="T27" s="14"/>
      <c r="V27" s="66"/>
      <c r="W27" s="39">
        <f>$AG$18</f>
        <v>0</v>
      </c>
      <c r="X27" s="2"/>
      <c r="AQ27" s="14"/>
      <c r="AS27" s="64" t="s">
        <v>270</v>
      </c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E27" s="8" t="s">
        <v>288</v>
      </c>
      <c r="BF27" s="40">
        <f t="shared" ref="BF27:BO27" si="4">BF$24</f>
        <v>0</v>
      </c>
      <c r="BG27" s="40">
        <f t="shared" si="4"/>
        <v>0</v>
      </c>
      <c r="BH27" s="40">
        <f t="shared" si="4"/>
        <v>0</v>
      </c>
      <c r="BI27" s="40">
        <f t="shared" si="4"/>
        <v>0</v>
      </c>
      <c r="BJ27" s="40">
        <f t="shared" si="4"/>
        <v>0</v>
      </c>
      <c r="BK27" s="40">
        <f t="shared" si="4"/>
        <v>0</v>
      </c>
      <c r="BL27" s="40">
        <f t="shared" si="4"/>
        <v>0</v>
      </c>
      <c r="BM27" s="40">
        <f t="shared" si="4"/>
        <v>0</v>
      </c>
      <c r="BN27" s="40">
        <f t="shared" si="4"/>
        <v>0</v>
      </c>
      <c r="BO27" s="40">
        <f t="shared" si="4"/>
        <v>0</v>
      </c>
      <c r="BQ27" s="3" t="s">
        <v>17</v>
      </c>
      <c r="BR27" s="11" t="e">
        <f>_xlfn.XLOOKUP(BT27,BR18:BY18,BR15:BY15)</f>
        <v>#N/A</v>
      </c>
      <c r="BS27" s="11" t="s">
        <v>10</v>
      </c>
      <c r="BT27" s="11" t="e">
        <f>HLOOKUP(ROUNDUP(BQ10,1),BR18:BY18,1,TRUE)</f>
        <v>#N/A</v>
      </c>
      <c r="BU27" s="11" t="s">
        <v>327</v>
      </c>
      <c r="BV27" s="11" t="e">
        <f>HLOOKUP(BT27,BR18:BY20,2,TRUE)</f>
        <v>#N/A</v>
      </c>
      <c r="BW27" s="11" t="s">
        <v>329</v>
      </c>
      <c r="BX27" s="11" t="e">
        <f>HLOOKUP(BT27,BR18:BY20,3,TRUE)</f>
        <v>#N/A</v>
      </c>
    </row>
    <row r="28" spans="2:79">
      <c r="L28" s="39">
        <f>S17</f>
        <v>0</v>
      </c>
      <c r="M28" s="2"/>
      <c r="T28" s="14"/>
      <c r="V28" s="66">
        <f>X17</f>
        <v>0</v>
      </c>
      <c r="W28" s="39">
        <f>$W$18</f>
        <v>0</v>
      </c>
      <c r="X28" s="2"/>
      <c r="AQ28" s="14"/>
      <c r="AS28" s="64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E28" s="39">
        <f>BF23</f>
        <v>0</v>
      </c>
      <c r="BF28" s="1"/>
      <c r="BG28" s="17"/>
      <c r="BH28" s="17"/>
      <c r="BI28" s="17"/>
      <c r="BJ28" s="17"/>
      <c r="BK28" s="17"/>
      <c r="BL28" s="17"/>
      <c r="BM28" s="17"/>
      <c r="BN28" s="17"/>
      <c r="BO28" s="18"/>
      <c r="BQ28" s="11" t="s">
        <v>18</v>
      </c>
      <c r="BR28" s="11" t="e">
        <f>BR27+1</f>
        <v>#N/A</v>
      </c>
      <c r="BS28" s="11" t="s">
        <v>11</v>
      </c>
      <c r="BT28" s="11" t="e">
        <f>_xlfn.XLOOKUP(BR28,BR15:BY15,BR18:BY18)</f>
        <v>#N/A</v>
      </c>
      <c r="BU28" s="11" t="s">
        <v>328</v>
      </c>
      <c r="BV28" s="11" t="e">
        <f>HLOOKUP(BT28,BR18:BY20,2,TRUE)</f>
        <v>#N/A</v>
      </c>
      <c r="BW28" s="11" t="s">
        <v>330</v>
      </c>
      <c r="BX28" s="11" t="e">
        <f>HLOOKUP(BT28,BR18:BY20,3,TRUE)</f>
        <v>#N/A</v>
      </c>
    </row>
    <row r="29" spans="2:79">
      <c r="L29" s="39">
        <f>T17</f>
        <v>0</v>
      </c>
      <c r="M29" s="5"/>
      <c r="N29" s="15"/>
      <c r="O29" s="15"/>
      <c r="P29" s="15"/>
      <c r="Q29" s="15"/>
      <c r="R29" s="15"/>
      <c r="S29" s="15"/>
      <c r="T29" s="16"/>
      <c r="V29" s="66"/>
      <c r="W29" s="39">
        <f>$X$18</f>
        <v>0</v>
      </c>
      <c r="X29" s="2"/>
      <c r="AQ29" s="14"/>
      <c r="AS29" s="10" t="s">
        <v>20</v>
      </c>
      <c r="AT29" s="1"/>
      <c r="AU29" s="17"/>
      <c r="AV29" s="17"/>
      <c r="AW29" s="17"/>
      <c r="AX29" s="17"/>
      <c r="AY29" s="17"/>
      <c r="AZ29" s="17"/>
      <c r="BA29" s="17"/>
      <c r="BB29" s="17"/>
      <c r="BC29" s="18"/>
      <c r="BE29" s="39">
        <f>BG23</f>
        <v>0</v>
      </c>
      <c r="BF29" s="2"/>
      <c r="BO29" s="14"/>
    </row>
    <row r="30" spans="2:79">
      <c r="L30" s="3">
        <f>IF(O32&gt;=MAX(M37:T37),MAX(M37:T37)-0.1,IF(O32&lt;=M37,M37+0.1,O32))</f>
        <v>-0.1</v>
      </c>
      <c r="M30" s="3">
        <f>IF(O33&gt;=MAX(M38:T38),MAX(M38:T38)-0.1,IF(O33&lt;=M38,M38+0.1,O33))</f>
        <v>-0.1</v>
      </c>
      <c r="V30" s="66"/>
      <c r="W30" s="39">
        <f>$AA$18</f>
        <v>0</v>
      </c>
      <c r="X30" s="2"/>
      <c r="AQ30" s="14"/>
      <c r="AS30" s="10" t="s">
        <v>269</v>
      </c>
      <c r="AT30" s="5"/>
      <c r="AU30" s="15"/>
      <c r="AV30" s="15"/>
      <c r="AW30" s="15"/>
      <c r="AX30" s="15"/>
      <c r="AY30" s="15"/>
      <c r="AZ30" s="15"/>
      <c r="BA30" s="15"/>
      <c r="BB30" s="15"/>
      <c r="BC30" s="16"/>
      <c r="BE30" s="39">
        <f>BH23</f>
        <v>0</v>
      </c>
      <c r="BF30" s="2"/>
      <c r="BO30" s="14"/>
    </row>
    <row r="31" spans="2:79">
      <c r="L31" s="64" t="s">
        <v>6</v>
      </c>
      <c r="M31" s="94"/>
      <c r="N31" s="95"/>
      <c r="O31" s="8" t="s">
        <v>7</v>
      </c>
      <c r="P31" s="64" t="s">
        <v>6</v>
      </c>
      <c r="Q31" s="94"/>
      <c r="R31" s="95"/>
      <c r="S31" s="8" t="s">
        <v>7</v>
      </c>
      <c r="V31" s="66"/>
      <c r="W31" s="39">
        <f>$AD$18</f>
        <v>0</v>
      </c>
      <c r="X31" s="2"/>
      <c r="AQ31" s="14"/>
      <c r="BE31" s="39">
        <f>BI23</f>
        <v>0</v>
      </c>
      <c r="BF31" s="2"/>
      <c r="BO31" s="14"/>
    </row>
    <row r="32" spans="2:79">
      <c r="L32" s="70" t="s">
        <v>8</v>
      </c>
      <c r="M32" s="110"/>
      <c r="N32" s="111"/>
      <c r="O32" s="9">
        <f>E12</f>
        <v>0</v>
      </c>
      <c r="P32" s="70" t="s">
        <v>43</v>
      </c>
      <c r="Q32" s="110"/>
      <c r="R32" s="111"/>
      <c r="S32" s="9" t="e">
        <f>INT((R55+((R56-R55)*(L30-O55)/(O56-O55)))+(((S55+((S56-S55)*(L30-O55)/(O56-O55)))-(R55+((R56-R55)*(L30-O55)/(O56-O55))))*(M30-R54)/(S54-R54)))</f>
        <v>#N/A</v>
      </c>
      <c r="T32" s="49"/>
      <c r="V32" s="66"/>
      <c r="W32" s="39">
        <f>$AG$18</f>
        <v>0</v>
      </c>
      <c r="X32" s="2"/>
      <c r="AQ32" s="14"/>
      <c r="AS32" s="3"/>
      <c r="AT32" s="3"/>
      <c r="BE32" s="39">
        <f>BJ23</f>
        <v>0</v>
      </c>
      <c r="BF32" s="2"/>
      <c r="BO32" s="14"/>
    </row>
    <row r="33" spans="1:67">
      <c r="L33" s="70" t="s">
        <v>45</v>
      </c>
      <c r="M33" s="110"/>
      <c r="N33" s="111"/>
      <c r="O33" s="56"/>
      <c r="P33" s="70" t="s">
        <v>44</v>
      </c>
      <c r="Q33" s="110"/>
      <c r="R33" s="111"/>
      <c r="S33" s="9">
        <f>IFERROR(ROUND(S32/O34*1024,0),0)</f>
        <v>0</v>
      </c>
      <c r="T33" s="25"/>
      <c r="V33" s="66">
        <f>AA17</f>
        <v>0</v>
      </c>
      <c r="W33" s="39">
        <f>$W$18</f>
        <v>0</v>
      </c>
      <c r="X33" s="2"/>
      <c r="AQ33" s="14"/>
      <c r="AS33" s="8" t="s">
        <v>288</v>
      </c>
      <c r="AT33" s="40">
        <f t="shared" ref="AT33:BC33" si="5">AT$30</f>
        <v>0</v>
      </c>
      <c r="AU33" s="40">
        <f t="shared" si="5"/>
        <v>0</v>
      </c>
      <c r="AV33" s="40">
        <f t="shared" si="5"/>
        <v>0</v>
      </c>
      <c r="AW33" s="40">
        <f t="shared" si="5"/>
        <v>0</v>
      </c>
      <c r="AX33" s="40">
        <f t="shared" si="5"/>
        <v>0</v>
      </c>
      <c r="AY33" s="40">
        <f t="shared" si="5"/>
        <v>0</v>
      </c>
      <c r="AZ33" s="40">
        <f t="shared" si="5"/>
        <v>0</v>
      </c>
      <c r="BA33" s="40">
        <f t="shared" si="5"/>
        <v>0</v>
      </c>
      <c r="BB33" s="40">
        <f t="shared" si="5"/>
        <v>0</v>
      </c>
      <c r="BC33" s="40">
        <f t="shared" si="5"/>
        <v>0</v>
      </c>
      <c r="BE33" s="39">
        <f>BK23</f>
        <v>0</v>
      </c>
      <c r="BF33" s="2"/>
      <c r="BO33" s="14"/>
    </row>
    <row r="34" spans="1:67">
      <c r="G34" s="122" t="str">
        <f>IF(O14/4096*255&gt;255, "HS_BT_Y is out of range","")</f>
        <v/>
      </c>
      <c r="H34" s="122"/>
      <c r="I34" s="122"/>
      <c r="J34" s="44"/>
      <c r="L34" s="70" t="s">
        <v>246</v>
      </c>
      <c r="M34" s="110"/>
      <c r="N34" s="111"/>
      <c r="O34" s="9"/>
      <c r="V34" s="66"/>
      <c r="W34" s="39">
        <f>$X$18</f>
        <v>0</v>
      </c>
      <c r="X34" s="2"/>
      <c r="AQ34" s="14"/>
      <c r="AS34" s="39">
        <f>AT29</f>
        <v>0</v>
      </c>
      <c r="AT34" s="1"/>
      <c r="AU34" s="17"/>
      <c r="AV34" s="17"/>
      <c r="AW34" s="17"/>
      <c r="AX34" s="17"/>
      <c r="AY34" s="17"/>
      <c r="AZ34" s="17"/>
      <c r="BA34" s="17"/>
      <c r="BB34" s="17"/>
      <c r="BC34" s="18"/>
      <c r="BE34" s="39">
        <f>BL23</f>
        <v>0</v>
      </c>
      <c r="BF34" s="2"/>
      <c r="BO34" s="14"/>
    </row>
    <row r="35" spans="1:67">
      <c r="B35" s="6">
        <f>0</f>
        <v>0</v>
      </c>
      <c r="C35" s="6">
        <f>C$18*2^(C$19/1000*$B35/1024)</f>
        <v>0</v>
      </c>
      <c r="D35" s="6">
        <f t="shared" ref="D35:J35" si="6">D$18*2^(D$19/1000*$B35/1024)</f>
        <v>0</v>
      </c>
      <c r="E35" s="6">
        <f t="shared" si="6"/>
        <v>0</v>
      </c>
      <c r="F35" s="6">
        <f t="shared" si="6"/>
        <v>0</v>
      </c>
      <c r="G35" s="6">
        <f t="shared" si="6"/>
        <v>0</v>
      </c>
      <c r="H35" s="6">
        <f t="shared" si="6"/>
        <v>0</v>
      </c>
      <c r="I35" s="6">
        <f t="shared" si="6"/>
        <v>0</v>
      </c>
      <c r="J35" s="6">
        <f t="shared" si="6"/>
        <v>0</v>
      </c>
      <c r="L35" s="3" t="s">
        <v>16</v>
      </c>
      <c r="M35" s="11">
        <v>1</v>
      </c>
      <c r="N35" s="11">
        <v>2</v>
      </c>
      <c r="O35" s="11">
        <v>3</v>
      </c>
      <c r="P35" s="11">
        <v>4</v>
      </c>
      <c r="Q35" s="11">
        <v>5</v>
      </c>
      <c r="R35" s="11">
        <v>6</v>
      </c>
      <c r="S35" s="11">
        <v>7</v>
      </c>
      <c r="T35" s="11">
        <v>8</v>
      </c>
      <c r="V35" s="66"/>
      <c r="W35" s="39">
        <f>$AA$18</f>
        <v>0</v>
      </c>
      <c r="X35" s="2"/>
      <c r="AQ35" s="14"/>
      <c r="AS35" s="39">
        <f>AU29</f>
        <v>0</v>
      </c>
      <c r="AT35" s="2"/>
      <c r="BC35" s="14"/>
      <c r="BE35" s="39">
        <f>BM23</f>
        <v>0</v>
      </c>
      <c r="BF35" s="2"/>
      <c r="BO35" s="14"/>
    </row>
    <row r="36" spans="1:67">
      <c r="A36" s="4">
        <v>1</v>
      </c>
      <c r="B36" s="6">
        <f t="shared" ref="B36:B54" si="7">$B$35+(($B$55-$B$35)*(A36/20))</f>
        <v>51.2</v>
      </c>
      <c r="C36" s="6">
        <f t="shared" ref="C36:J55" si="8">C$18*2^(C$19/1000*$B36/1024)</f>
        <v>0</v>
      </c>
      <c r="D36" s="6">
        <f t="shared" si="8"/>
        <v>0</v>
      </c>
      <c r="E36" s="6">
        <f t="shared" si="8"/>
        <v>0</v>
      </c>
      <c r="F36" s="6">
        <f t="shared" si="8"/>
        <v>0</v>
      </c>
      <c r="G36" s="6">
        <f t="shared" si="8"/>
        <v>0</v>
      </c>
      <c r="H36" s="6">
        <f t="shared" si="8"/>
        <v>0</v>
      </c>
      <c r="I36" s="6">
        <f t="shared" si="8"/>
        <v>0</v>
      </c>
      <c r="J36" s="6">
        <f t="shared" si="8"/>
        <v>0</v>
      </c>
      <c r="L36" s="64" t="s">
        <v>46</v>
      </c>
      <c r="M36" s="125"/>
      <c r="N36" s="125"/>
      <c r="O36" s="125"/>
      <c r="P36" s="125"/>
      <c r="Q36" s="125"/>
      <c r="R36" s="125"/>
      <c r="S36" s="125"/>
      <c r="T36" s="125"/>
      <c r="V36" s="66"/>
      <c r="W36" s="39">
        <f>$AD$18</f>
        <v>0</v>
      </c>
      <c r="X36" s="2"/>
      <c r="AQ36" s="14"/>
      <c r="AS36" s="39">
        <f>AV29</f>
        <v>0</v>
      </c>
      <c r="AT36" s="2"/>
      <c r="BC36" s="14"/>
      <c r="BE36" s="39">
        <f>BN23</f>
        <v>0</v>
      </c>
      <c r="BF36" s="2"/>
      <c r="BO36" s="14"/>
    </row>
    <row r="37" spans="1:67">
      <c r="A37" s="4">
        <v>2</v>
      </c>
      <c r="B37" s="6">
        <f t="shared" si="7"/>
        <v>102.4</v>
      </c>
      <c r="C37" s="6">
        <f t="shared" si="8"/>
        <v>0</v>
      </c>
      <c r="D37" s="6">
        <f t="shared" si="8"/>
        <v>0</v>
      </c>
      <c r="E37" s="6">
        <f t="shared" si="8"/>
        <v>0</v>
      </c>
      <c r="F37" s="6">
        <f t="shared" si="8"/>
        <v>0</v>
      </c>
      <c r="G37" s="6">
        <f t="shared" si="8"/>
        <v>0</v>
      </c>
      <c r="H37" s="6">
        <f t="shared" si="8"/>
        <v>0</v>
      </c>
      <c r="I37" s="6">
        <f t="shared" si="8"/>
        <v>0</v>
      </c>
      <c r="J37" s="6">
        <f t="shared" si="8"/>
        <v>0</v>
      </c>
      <c r="L37" s="46" t="s">
        <v>20</v>
      </c>
      <c r="M37" s="1"/>
      <c r="N37" s="17"/>
      <c r="O37" s="17"/>
      <c r="P37" s="17"/>
      <c r="Q37" s="17"/>
      <c r="R37" s="17"/>
      <c r="S37" s="17"/>
      <c r="T37" s="18"/>
      <c r="V37" s="66"/>
      <c r="W37" s="39">
        <f>$AG$18</f>
        <v>0</v>
      </c>
      <c r="X37" s="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6"/>
      <c r="AS37" s="39">
        <f>AW29</f>
        <v>0</v>
      </c>
      <c r="AT37" s="2"/>
      <c r="BC37" s="14"/>
      <c r="BE37" s="39">
        <f>BO23</f>
        <v>0</v>
      </c>
      <c r="BF37" s="5"/>
      <c r="BG37" s="15"/>
      <c r="BH37" s="15"/>
      <c r="BI37" s="15"/>
      <c r="BJ37" s="15"/>
      <c r="BK37" s="15"/>
      <c r="BL37" s="15"/>
      <c r="BM37" s="15"/>
      <c r="BN37" s="15"/>
      <c r="BO37" s="16"/>
    </row>
    <row r="38" spans="1:67">
      <c r="A38" s="4">
        <v>3</v>
      </c>
      <c r="B38" s="6">
        <f t="shared" si="7"/>
        <v>153.6</v>
      </c>
      <c r="C38" s="6">
        <f t="shared" si="8"/>
        <v>0</v>
      </c>
      <c r="D38" s="6">
        <f t="shared" si="8"/>
        <v>0</v>
      </c>
      <c r="E38" s="6">
        <f t="shared" si="8"/>
        <v>0</v>
      </c>
      <c r="F38" s="6">
        <f t="shared" si="8"/>
        <v>0</v>
      </c>
      <c r="G38" s="6">
        <f t="shared" si="8"/>
        <v>0</v>
      </c>
      <c r="H38" s="6">
        <f t="shared" si="8"/>
        <v>0</v>
      </c>
      <c r="I38" s="6">
        <f t="shared" si="8"/>
        <v>0</v>
      </c>
      <c r="J38" s="6">
        <f t="shared" si="8"/>
        <v>0</v>
      </c>
      <c r="L38" s="45" t="s">
        <v>47</v>
      </c>
      <c r="M38" s="5"/>
      <c r="N38" s="15"/>
      <c r="O38" s="15"/>
      <c r="P38" s="15"/>
      <c r="Q38" s="15"/>
      <c r="R38" s="15"/>
      <c r="S38" s="15"/>
      <c r="T38" s="16"/>
      <c r="AS38" s="39">
        <f>AX29</f>
        <v>0</v>
      </c>
      <c r="AT38" s="2"/>
      <c r="BC38" s="14"/>
      <c r="BE38" s="3" t="s">
        <v>16</v>
      </c>
      <c r="BF38" s="11">
        <v>1</v>
      </c>
      <c r="BG38" s="11">
        <v>2</v>
      </c>
      <c r="BH38" s="11">
        <v>3</v>
      </c>
      <c r="BI38" s="11">
        <v>4</v>
      </c>
      <c r="BJ38" s="11">
        <v>5</v>
      </c>
      <c r="BK38" s="11">
        <v>6</v>
      </c>
      <c r="BL38" s="11">
        <v>7</v>
      </c>
      <c r="BM38" s="11">
        <v>8</v>
      </c>
      <c r="BN38" s="11">
        <v>9</v>
      </c>
      <c r="BO38" s="11">
        <v>10</v>
      </c>
    </row>
    <row r="39" spans="1:67">
      <c r="A39" s="4">
        <v>4</v>
      </c>
      <c r="B39" s="6">
        <f t="shared" si="7"/>
        <v>204.8</v>
      </c>
      <c r="C39" s="6">
        <f t="shared" si="8"/>
        <v>0</v>
      </c>
      <c r="D39" s="6">
        <f t="shared" si="8"/>
        <v>0</v>
      </c>
      <c r="E39" s="6">
        <f t="shared" si="8"/>
        <v>0</v>
      </c>
      <c r="F39" s="6">
        <f t="shared" si="8"/>
        <v>0</v>
      </c>
      <c r="G39" s="6">
        <f t="shared" si="8"/>
        <v>0</v>
      </c>
      <c r="H39" s="6">
        <f t="shared" si="8"/>
        <v>0</v>
      </c>
      <c r="I39" s="6">
        <f t="shared" si="8"/>
        <v>0</v>
      </c>
      <c r="J39" s="6">
        <f t="shared" si="8"/>
        <v>0</v>
      </c>
      <c r="L39" s="119" t="s">
        <v>259</v>
      </c>
      <c r="M39" s="120"/>
      <c r="N39" s="120"/>
      <c r="O39" s="11"/>
      <c r="P39" s="121" t="s">
        <v>258</v>
      </c>
      <c r="Q39" s="120"/>
      <c r="R39" s="120"/>
      <c r="S39" s="11"/>
      <c r="T39" s="11"/>
      <c r="Z39" s="3">
        <f t="shared" ref="Z39:AH40" si="9">AU22</f>
        <v>0</v>
      </c>
      <c r="AA39" s="3">
        <f t="shared" si="9"/>
        <v>0</v>
      </c>
      <c r="AB39" s="3">
        <f t="shared" si="9"/>
        <v>0</v>
      </c>
      <c r="AC39" s="3">
        <f t="shared" si="9"/>
        <v>0</v>
      </c>
      <c r="AD39" s="3">
        <f t="shared" si="9"/>
        <v>0</v>
      </c>
      <c r="AE39" s="3">
        <f t="shared" si="9"/>
        <v>0</v>
      </c>
      <c r="AF39" s="3">
        <f t="shared" si="9"/>
        <v>0</v>
      </c>
      <c r="AG39" s="3">
        <f t="shared" si="9"/>
        <v>0</v>
      </c>
      <c r="AH39" s="3">
        <f t="shared" si="9"/>
        <v>0</v>
      </c>
      <c r="AI39" s="3">
        <f t="shared" ref="AI39:AQ40" si="10">AU24</f>
        <v>0</v>
      </c>
      <c r="AJ39" s="3">
        <f t="shared" si="10"/>
        <v>0</v>
      </c>
      <c r="AK39" s="3">
        <f t="shared" si="10"/>
        <v>0</v>
      </c>
      <c r="AL39" s="3">
        <f t="shared" si="10"/>
        <v>0</v>
      </c>
      <c r="AM39" s="3">
        <f t="shared" si="10"/>
        <v>0</v>
      </c>
      <c r="AN39" s="3">
        <f t="shared" si="10"/>
        <v>0</v>
      </c>
      <c r="AO39" s="3">
        <f t="shared" si="10"/>
        <v>0</v>
      </c>
      <c r="AP39" s="3">
        <f t="shared" si="10"/>
        <v>0</v>
      </c>
      <c r="AQ39" s="3">
        <f t="shared" si="10"/>
        <v>0</v>
      </c>
      <c r="AS39" s="39">
        <f>AY29</f>
        <v>0</v>
      </c>
      <c r="AT39" s="2"/>
      <c r="BC39" s="14"/>
      <c r="BE39" s="128" t="s">
        <v>276</v>
      </c>
      <c r="BF39" s="129"/>
      <c r="BG39" s="129"/>
      <c r="BH39" s="129"/>
      <c r="BI39" s="129"/>
      <c r="BJ39" s="129"/>
      <c r="BK39" s="129"/>
      <c r="BL39" s="129"/>
      <c r="BM39" s="129"/>
      <c r="BN39" s="129"/>
      <c r="BO39" s="130"/>
    </row>
    <row r="40" spans="1:67">
      <c r="A40" s="4">
        <v>5</v>
      </c>
      <c r="B40" s="6">
        <f t="shared" si="7"/>
        <v>256</v>
      </c>
      <c r="C40" s="6">
        <f t="shared" si="8"/>
        <v>0</v>
      </c>
      <c r="D40" s="6">
        <f t="shared" si="8"/>
        <v>0</v>
      </c>
      <c r="E40" s="6">
        <f t="shared" si="8"/>
        <v>0</v>
      </c>
      <c r="F40" s="6">
        <f t="shared" si="8"/>
        <v>0</v>
      </c>
      <c r="G40" s="6">
        <f t="shared" si="8"/>
        <v>0</v>
      </c>
      <c r="H40" s="6">
        <f t="shared" si="8"/>
        <v>0</v>
      </c>
      <c r="I40" s="6">
        <f t="shared" si="8"/>
        <v>0</v>
      </c>
      <c r="J40" s="6">
        <f t="shared" si="8"/>
        <v>0</v>
      </c>
      <c r="L40" s="29" t="s">
        <v>253</v>
      </c>
      <c r="M40" s="40">
        <f>M$38</f>
        <v>0</v>
      </c>
      <c r="N40" s="40">
        <f>N$38</f>
        <v>0</v>
      </c>
      <c r="O40" s="40">
        <f>O$38</f>
        <v>0</v>
      </c>
      <c r="P40" s="40">
        <f>P$38</f>
        <v>0</v>
      </c>
      <c r="Q40" s="40">
        <f>Q$38</f>
        <v>0</v>
      </c>
      <c r="R40" s="40">
        <f t="shared" ref="R40:T40" si="11">R$38</f>
        <v>0</v>
      </c>
      <c r="S40" s="40">
        <f t="shared" si="11"/>
        <v>0</v>
      </c>
      <c r="T40" s="40">
        <f t="shared" si="11"/>
        <v>0</v>
      </c>
      <c r="Z40" s="3">
        <f t="shared" si="9"/>
        <v>0</v>
      </c>
      <c r="AA40" s="3">
        <f t="shared" si="9"/>
        <v>0</v>
      </c>
      <c r="AB40" s="3">
        <f t="shared" si="9"/>
        <v>0</v>
      </c>
      <c r="AC40" s="3">
        <f t="shared" si="9"/>
        <v>0</v>
      </c>
      <c r="AD40" s="3">
        <f t="shared" si="9"/>
        <v>0</v>
      </c>
      <c r="AE40" s="3">
        <f t="shared" si="9"/>
        <v>0</v>
      </c>
      <c r="AF40" s="3">
        <f t="shared" si="9"/>
        <v>0</v>
      </c>
      <c r="AG40" s="3">
        <f t="shared" si="9"/>
        <v>0</v>
      </c>
      <c r="AH40" s="3">
        <f t="shared" si="9"/>
        <v>0</v>
      </c>
      <c r="AI40" s="3">
        <f t="shared" si="10"/>
        <v>0</v>
      </c>
      <c r="AJ40" s="3">
        <f t="shared" si="10"/>
        <v>0</v>
      </c>
      <c r="AK40" s="3">
        <f t="shared" si="10"/>
        <v>0</v>
      </c>
      <c r="AL40" s="3">
        <f t="shared" si="10"/>
        <v>0</v>
      </c>
      <c r="AM40" s="3">
        <f t="shared" si="10"/>
        <v>0</v>
      </c>
      <c r="AN40" s="3">
        <f t="shared" si="10"/>
        <v>0</v>
      </c>
      <c r="AO40" s="3">
        <f t="shared" si="10"/>
        <v>0</v>
      </c>
      <c r="AP40" s="3">
        <f t="shared" si="10"/>
        <v>0</v>
      </c>
      <c r="AQ40" s="3">
        <f t="shared" si="10"/>
        <v>0</v>
      </c>
      <c r="AS40" s="39">
        <f>AZ29</f>
        <v>0</v>
      </c>
      <c r="AT40" s="2"/>
      <c r="BC40" s="14"/>
      <c r="BE40" s="131"/>
      <c r="BF40" s="132"/>
      <c r="BG40" s="132"/>
      <c r="BH40" s="132"/>
      <c r="BI40" s="132"/>
      <c r="BJ40" s="132"/>
      <c r="BK40" s="132"/>
      <c r="BL40" s="132"/>
      <c r="BM40" s="132"/>
      <c r="BN40" s="132"/>
      <c r="BO40" s="133"/>
    </row>
    <row r="41" spans="1:67">
      <c r="A41" s="4">
        <v>6</v>
      </c>
      <c r="B41" s="6">
        <f t="shared" si="7"/>
        <v>307.2</v>
      </c>
      <c r="C41" s="6">
        <f t="shared" si="8"/>
        <v>0</v>
      </c>
      <c r="D41" s="6">
        <f t="shared" si="8"/>
        <v>0</v>
      </c>
      <c r="E41" s="6">
        <f t="shared" si="8"/>
        <v>0</v>
      </c>
      <c r="F41" s="6">
        <f t="shared" si="8"/>
        <v>0</v>
      </c>
      <c r="G41" s="6">
        <f t="shared" si="8"/>
        <v>0</v>
      </c>
      <c r="H41" s="6">
        <f t="shared" si="8"/>
        <v>0</v>
      </c>
      <c r="I41" s="6">
        <f t="shared" si="8"/>
        <v>0</v>
      </c>
      <c r="J41" s="6">
        <f t="shared" si="8"/>
        <v>0</v>
      </c>
      <c r="L41" s="39">
        <f>M37</f>
        <v>0</v>
      </c>
      <c r="M41" s="1"/>
      <c r="N41" s="17"/>
      <c r="O41" s="17"/>
      <c r="P41" s="17"/>
      <c r="Q41" s="17"/>
      <c r="R41" s="17"/>
      <c r="S41" s="17"/>
      <c r="T41" s="18"/>
      <c r="Z41" s="3">
        <f>IF(Z39&lt;=$BA$13,Z39,"")</f>
        <v>0</v>
      </c>
      <c r="AA41" s="3">
        <f t="shared" ref="AA41:AQ41" si="12">IF(AA39&lt;=$BA$13,AA39,"")</f>
        <v>0</v>
      </c>
      <c r="AB41" s="3">
        <f t="shared" si="12"/>
        <v>0</v>
      </c>
      <c r="AC41" s="3">
        <f t="shared" si="12"/>
        <v>0</v>
      </c>
      <c r="AD41" s="3">
        <f t="shared" si="12"/>
        <v>0</v>
      </c>
      <c r="AE41" s="3">
        <f t="shared" si="12"/>
        <v>0</v>
      </c>
      <c r="AF41" s="3">
        <f t="shared" si="12"/>
        <v>0</v>
      </c>
      <c r="AG41" s="3">
        <f t="shared" si="12"/>
        <v>0</v>
      </c>
      <c r="AH41" s="3">
        <f t="shared" si="12"/>
        <v>0</v>
      </c>
      <c r="AI41" s="3">
        <f t="shared" si="12"/>
        <v>0</v>
      </c>
      <c r="AJ41" s="3">
        <f t="shared" si="12"/>
        <v>0</v>
      </c>
      <c r="AK41" s="3">
        <f t="shared" si="12"/>
        <v>0</v>
      </c>
      <c r="AL41" s="3">
        <f t="shared" si="12"/>
        <v>0</v>
      </c>
      <c r="AM41" s="3">
        <f t="shared" si="12"/>
        <v>0</v>
      </c>
      <c r="AN41" s="3">
        <f t="shared" si="12"/>
        <v>0</v>
      </c>
      <c r="AO41" s="3">
        <f t="shared" si="12"/>
        <v>0</v>
      </c>
      <c r="AP41" s="3">
        <f t="shared" si="12"/>
        <v>0</v>
      </c>
      <c r="AQ41" s="3">
        <f t="shared" si="12"/>
        <v>0</v>
      </c>
      <c r="AS41" s="39">
        <f>BA29</f>
        <v>0</v>
      </c>
      <c r="AT41" s="2"/>
      <c r="BC41" s="14"/>
      <c r="BE41" s="10" t="s">
        <v>20</v>
      </c>
      <c r="BF41" s="1"/>
      <c r="BG41" s="17"/>
      <c r="BH41" s="17"/>
      <c r="BI41" s="17"/>
      <c r="BJ41" s="17"/>
      <c r="BK41" s="17"/>
      <c r="BL41" s="17"/>
      <c r="BM41" s="17"/>
      <c r="BN41" s="17"/>
      <c r="BO41" s="18"/>
    </row>
    <row r="42" spans="1:67">
      <c r="A42" s="4">
        <v>7</v>
      </c>
      <c r="B42" s="6">
        <f t="shared" si="7"/>
        <v>358.4</v>
      </c>
      <c r="C42" s="6">
        <f t="shared" si="8"/>
        <v>0</v>
      </c>
      <c r="D42" s="6">
        <f t="shared" si="8"/>
        <v>0</v>
      </c>
      <c r="E42" s="6">
        <f t="shared" si="8"/>
        <v>0</v>
      </c>
      <c r="F42" s="6">
        <f t="shared" si="8"/>
        <v>0</v>
      </c>
      <c r="G42" s="6">
        <f t="shared" si="8"/>
        <v>0</v>
      </c>
      <c r="H42" s="6">
        <f t="shared" si="8"/>
        <v>0</v>
      </c>
      <c r="I42" s="6">
        <f t="shared" si="8"/>
        <v>0</v>
      </c>
      <c r="J42" s="6">
        <f t="shared" si="8"/>
        <v>0</v>
      </c>
      <c r="L42" s="39">
        <f>N37</f>
        <v>0</v>
      </c>
      <c r="M42" s="2"/>
      <c r="T42" s="14"/>
      <c r="Z42" s="3" t="str">
        <f>IF(Z39&gt;$BA$13,Z39,"")</f>
        <v/>
      </c>
      <c r="AA42" s="3" t="str">
        <f t="shared" ref="AA42:AQ42" si="13">IF(AA39&gt;$BA$13,AA39,"")</f>
        <v/>
      </c>
      <c r="AB42" s="3" t="str">
        <f t="shared" si="13"/>
        <v/>
      </c>
      <c r="AC42" s="3" t="str">
        <f t="shared" si="13"/>
        <v/>
      </c>
      <c r="AD42" s="3" t="str">
        <f t="shared" si="13"/>
        <v/>
      </c>
      <c r="AE42" s="3" t="str">
        <f t="shared" si="13"/>
        <v/>
      </c>
      <c r="AF42" s="3" t="str">
        <f t="shared" si="13"/>
        <v/>
      </c>
      <c r="AG42" s="3" t="str">
        <f t="shared" si="13"/>
        <v/>
      </c>
      <c r="AH42" s="3" t="str">
        <f t="shared" si="13"/>
        <v/>
      </c>
      <c r="AI42" s="3" t="str">
        <f t="shared" si="13"/>
        <v/>
      </c>
      <c r="AJ42" s="3" t="str">
        <f t="shared" si="13"/>
        <v/>
      </c>
      <c r="AK42" s="3" t="str">
        <f t="shared" si="13"/>
        <v/>
      </c>
      <c r="AL42" s="3" t="str">
        <f t="shared" si="13"/>
        <v/>
      </c>
      <c r="AM42" s="3" t="str">
        <f t="shared" si="13"/>
        <v/>
      </c>
      <c r="AN42" s="3" t="str">
        <f t="shared" si="13"/>
        <v/>
      </c>
      <c r="AO42" s="3" t="str">
        <f t="shared" si="13"/>
        <v/>
      </c>
      <c r="AP42" s="3" t="str">
        <f t="shared" si="13"/>
        <v/>
      </c>
      <c r="AQ42" s="3" t="str">
        <f t="shared" si="13"/>
        <v/>
      </c>
      <c r="AS42" s="39">
        <f>BB29</f>
        <v>0</v>
      </c>
      <c r="AT42" s="2"/>
      <c r="BC42" s="14"/>
      <c r="BE42" s="10" t="s">
        <v>269</v>
      </c>
      <c r="BF42" s="5"/>
      <c r="BG42" s="15"/>
      <c r="BH42" s="15"/>
      <c r="BI42" s="15"/>
      <c r="BJ42" s="15"/>
      <c r="BK42" s="15"/>
      <c r="BL42" s="15"/>
      <c r="BM42" s="15"/>
      <c r="BN42" s="15"/>
      <c r="BO42" s="16"/>
    </row>
    <row r="43" spans="1:67">
      <c r="A43" s="4">
        <v>8</v>
      </c>
      <c r="B43" s="6">
        <f t="shared" si="7"/>
        <v>409.6</v>
      </c>
      <c r="C43" s="6">
        <f t="shared" si="8"/>
        <v>0</v>
      </c>
      <c r="D43" s="6">
        <f t="shared" si="8"/>
        <v>0</v>
      </c>
      <c r="E43" s="6">
        <f t="shared" si="8"/>
        <v>0</v>
      </c>
      <c r="F43" s="6">
        <f t="shared" si="8"/>
        <v>0</v>
      </c>
      <c r="G43" s="6">
        <f t="shared" si="8"/>
        <v>0</v>
      </c>
      <c r="H43" s="6">
        <f t="shared" si="8"/>
        <v>0</v>
      </c>
      <c r="I43" s="6">
        <f t="shared" si="8"/>
        <v>0</v>
      </c>
      <c r="J43" s="6">
        <f t="shared" si="8"/>
        <v>0</v>
      </c>
      <c r="L43" s="39">
        <f>O37</f>
        <v>0</v>
      </c>
      <c r="M43" s="2"/>
      <c r="T43" s="14"/>
      <c r="AS43" s="39">
        <f>BC29</f>
        <v>0</v>
      </c>
      <c r="AT43" s="5"/>
      <c r="AU43" s="15"/>
      <c r="AV43" s="15"/>
      <c r="AW43" s="15"/>
      <c r="AX43" s="15"/>
      <c r="AY43" s="15"/>
      <c r="AZ43" s="15"/>
      <c r="BA43" s="15"/>
      <c r="BB43" s="15"/>
      <c r="BC43" s="16"/>
    </row>
    <row r="44" spans="1:67">
      <c r="A44" s="4">
        <v>9</v>
      </c>
      <c r="B44" s="6">
        <f t="shared" si="7"/>
        <v>460.8</v>
      </c>
      <c r="C44" s="6">
        <f t="shared" si="8"/>
        <v>0</v>
      </c>
      <c r="D44" s="6">
        <f t="shared" si="8"/>
        <v>0</v>
      </c>
      <c r="E44" s="6">
        <f t="shared" si="8"/>
        <v>0</v>
      </c>
      <c r="F44" s="6">
        <f t="shared" si="8"/>
        <v>0</v>
      </c>
      <c r="G44" s="6">
        <f t="shared" si="8"/>
        <v>0</v>
      </c>
      <c r="H44" s="6">
        <f t="shared" si="8"/>
        <v>0</v>
      </c>
      <c r="I44" s="6">
        <f t="shared" si="8"/>
        <v>0</v>
      </c>
      <c r="J44" s="6">
        <f t="shared" si="8"/>
        <v>0</v>
      </c>
      <c r="L44" s="39">
        <f>P37</f>
        <v>0</v>
      </c>
      <c r="M44" s="2"/>
      <c r="T44" s="14"/>
      <c r="Y44" s="3">
        <f>COUNTA(BJ16:BO16)</f>
        <v>0</v>
      </c>
      <c r="Z44" s="3">
        <f>IF(BJ16&lt;=$BH$12,BJ16,"")</f>
        <v>0</v>
      </c>
      <c r="AA44" s="3">
        <f t="shared" ref="AA44:AE44" si="14">IF(BK16&lt;=$BH$12,BK16,"")</f>
        <v>0</v>
      </c>
      <c r="AB44" s="3">
        <f t="shared" si="14"/>
        <v>0</v>
      </c>
      <c r="AC44" s="3">
        <f t="shared" si="14"/>
        <v>0</v>
      </c>
      <c r="AD44" s="3">
        <f t="shared" si="14"/>
        <v>0</v>
      </c>
      <c r="AE44" s="3">
        <f t="shared" si="14"/>
        <v>0</v>
      </c>
      <c r="AS44" s="3" t="s">
        <v>16</v>
      </c>
      <c r="AT44" s="11">
        <v>1</v>
      </c>
      <c r="AU44" s="11">
        <v>2</v>
      </c>
      <c r="AV44" s="11">
        <v>3</v>
      </c>
      <c r="AW44" s="11">
        <v>4</v>
      </c>
      <c r="AX44" s="11">
        <v>5</v>
      </c>
      <c r="AY44" s="11">
        <v>6</v>
      </c>
      <c r="AZ44" s="11">
        <v>7</v>
      </c>
      <c r="BA44" s="11">
        <v>8</v>
      </c>
      <c r="BB44" s="11">
        <v>9</v>
      </c>
      <c r="BC44" s="11">
        <v>10</v>
      </c>
      <c r="BE44" s="8" t="s">
        <v>22</v>
      </c>
      <c r="BF44" s="40">
        <f t="shared" ref="BF44:BO44" si="15">BF$42</f>
        <v>0</v>
      </c>
      <c r="BG44" s="40">
        <f t="shared" si="15"/>
        <v>0</v>
      </c>
      <c r="BH44" s="40">
        <f t="shared" si="15"/>
        <v>0</v>
      </c>
      <c r="BI44" s="40">
        <f t="shared" si="15"/>
        <v>0</v>
      </c>
      <c r="BJ44" s="40">
        <f t="shared" si="15"/>
        <v>0</v>
      </c>
      <c r="BK44" s="40">
        <f t="shared" si="15"/>
        <v>0</v>
      </c>
      <c r="BL44" s="40">
        <f t="shared" si="15"/>
        <v>0</v>
      </c>
      <c r="BM44" s="40">
        <f t="shared" si="15"/>
        <v>0</v>
      </c>
      <c r="BN44" s="40">
        <f t="shared" si="15"/>
        <v>0</v>
      </c>
      <c r="BO44" s="40">
        <f t="shared" si="15"/>
        <v>0</v>
      </c>
    </row>
    <row r="45" spans="1:67">
      <c r="A45" s="4">
        <v>10</v>
      </c>
      <c r="B45" s="6">
        <f t="shared" si="7"/>
        <v>512</v>
      </c>
      <c r="C45" s="6">
        <f t="shared" si="8"/>
        <v>0</v>
      </c>
      <c r="D45" s="6">
        <f t="shared" si="8"/>
        <v>0</v>
      </c>
      <c r="E45" s="6">
        <f t="shared" si="8"/>
        <v>0</v>
      </c>
      <c r="F45" s="6">
        <f t="shared" si="8"/>
        <v>0</v>
      </c>
      <c r="G45" s="6">
        <f t="shared" si="8"/>
        <v>0</v>
      </c>
      <c r="H45" s="6">
        <f t="shared" si="8"/>
        <v>0</v>
      </c>
      <c r="I45" s="6">
        <f t="shared" si="8"/>
        <v>0</v>
      </c>
      <c r="J45" s="6">
        <f t="shared" si="8"/>
        <v>0</v>
      </c>
      <c r="L45" s="39">
        <f>Q37</f>
        <v>0</v>
      </c>
      <c r="M45" s="2"/>
      <c r="T45" s="14"/>
      <c r="Y45" s="3"/>
      <c r="Z45" s="3" t="str">
        <f>IF(BJ16&gt;$BH$12,BJ16,"")</f>
        <v/>
      </c>
      <c r="AA45" s="3" t="str">
        <f t="shared" ref="AA45:AE45" si="16">IF(BK16&gt;$BH$12,BK16,"")</f>
        <v/>
      </c>
      <c r="AB45" s="3" t="str">
        <f t="shared" si="16"/>
        <v/>
      </c>
      <c r="AC45" s="3" t="str">
        <f t="shared" si="16"/>
        <v/>
      </c>
      <c r="AD45" s="3" t="str">
        <f t="shared" si="16"/>
        <v/>
      </c>
      <c r="AE45" s="3" t="str">
        <f t="shared" si="16"/>
        <v/>
      </c>
      <c r="AS45" s="128" t="s">
        <v>271</v>
      </c>
      <c r="AT45" s="129"/>
      <c r="AU45" s="129"/>
      <c r="AV45" s="129"/>
      <c r="AW45" s="129"/>
      <c r="AX45" s="129"/>
      <c r="AY45" s="129"/>
      <c r="AZ45" s="129"/>
      <c r="BA45" s="129"/>
      <c r="BB45" s="129"/>
      <c r="BC45" s="130"/>
      <c r="BE45" s="39">
        <f>BF41</f>
        <v>0</v>
      </c>
      <c r="BF45" s="1"/>
      <c r="BG45" s="17"/>
      <c r="BH45" s="17"/>
      <c r="BI45" s="17"/>
      <c r="BJ45" s="17"/>
      <c r="BK45" s="17"/>
      <c r="BL45" s="17"/>
      <c r="BM45" s="17"/>
      <c r="BN45" s="17"/>
      <c r="BO45" s="18"/>
    </row>
    <row r="46" spans="1:67">
      <c r="A46" s="4">
        <v>11</v>
      </c>
      <c r="B46" s="6">
        <f t="shared" si="7"/>
        <v>563.20000000000005</v>
      </c>
      <c r="C46" s="6">
        <f t="shared" si="8"/>
        <v>0</v>
      </c>
      <c r="D46" s="6">
        <f t="shared" si="8"/>
        <v>0</v>
      </c>
      <c r="E46" s="6">
        <f t="shared" si="8"/>
        <v>0</v>
      </c>
      <c r="F46" s="6">
        <f t="shared" si="8"/>
        <v>0</v>
      </c>
      <c r="G46" s="6">
        <f t="shared" si="8"/>
        <v>0</v>
      </c>
      <c r="H46" s="6">
        <f t="shared" si="8"/>
        <v>0</v>
      </c>
      <c r="I46" s="6">
        <f t="shared" si="8"/>
        <v>0</v>
      </c>
      <c r="J46" s="6">
        <f t="shared" si="8"/>
        <v>0</v>
      </c>
      <c r="L46" s="39">
        <f>R37</f>
        <v>0</v>
      </c>
      <c r="M46" s="2"/>
      <c r="T46" s="14"/>
      <c r="AS46" s="131"/>
      <c r="AT46" s="132"/>
      <c r="AU46" s="132"/>
      <c r="AV46" s="132"/>
      <c r="AW46" s="132"/>
      <c r="AX46" s="132"/>
      <c r="AY46" s="132"/>
      <c r="AZ46" s="132"/>
      <c r="BA46" s="132"/>
      <c r="BB46" s="132"/>
      <c r="BC46" s="133"/>
      <c r="BE46" s="39">
        <f>BG41</f>
        <v>0</v>
      </c>
      <c r="BF46" s="2"/>
      <c r="BO46" s="14"/>
    </row>
    <row r="47" spans="1:67">
      <c r="A47" s="4">
        <v>12</v>
      </c>
      <c r="B47" s="6">
        <f t="shared" si="7"/>
        <v>614.4</v>
      </c>
      <c r="C47" s="6">
        <f t="shared" si="8"/>
        <v>0</v>
      </c>
      <c r="D47" s="6">
        <f t="shared" si="8"/>
        <v>0</v>
      </c>
      <c r="E47" s="6">
        <f t="shared" si="8"/>
        <v>0</v>
      </c>
      <c r="F47" s="6">
        <f t="shared" si="8"/>
        <v>0</v>
      </c>
      <c r="G47" s="6">
        <f t="shared" si="8"/>
        <v>0</v>
      </c>
      <c r="H47" s="6">
        <f t="shared" si="8"/>
        <v>0</v>
      </c>
      <c r="I47" s="6">
        <f t="shared" si="8"/>
        <v>0</v>
      </c>
      <c r="J47" s="6">
        <f t="shared" si="8"/>
        <v>0</v>
      </c>
      <c r="L47" s="39">
        <f>S37</f>
        <v>0</v>
      </c>
      <c r="M47" s="2"/>
      <c r="T47" s="14"/>
      <c r="Z47" s="3">
        <f t="shared" ref="Z47:AH48" si="17">AU16</f>
        <v>0</v>
      </c>
      <c r="AA47" s="3">
        <f t="shared" si="17"/>
        <v>0</v>
      </c>
      <c r="AB47" s="3">
        <f t="shared" si="17"/>
        <v>0</v>
      </c>
      <c r="AC47" s="3">
        <f t="shared" si="17"/>
        <v>0</v>
      </c>
      <c r="AD47" s="3">
        <f t="shared" si="17"/>
        <v>0</v>
      </c>
      <c r="AE47" s="11">
        <f t="shared" si="17"/>
        <v>0</v>
      </c>
      <c r="AF47" s="3">
        <f t="shared" si="17"/>
        <v>0</v>
      </c>
      <c r="AG47" s="3">
        <f t="shared" si="17"/>
        <v>0</v>
      </c>
      <c r="AH47" s="3">
        <f t="shared" si="17"/>
        <v>0</v>
      </c>
      <c r="AI47" s="3">
        <f t="shared" ref="AI47:AQ48" si="18">AU18</f>
        <v>0</v>
      </c>
      <c r="AJ47" s="3">
        <f t="shared" si="18"/>
        <v>0</v>
      </c>
      <c r="AK47" s="3">
        <f t="shared" si="18"/>
        <v>0</v>
      </c>
      <c r="AL47" s="3">
        <f t="shared" si="18"/>
        <v>0</v>
      </c>
      <c r="AM47" s="3">
        <f t="shared" si="18"/>
        <v>0</v>
      </c>
      <c r="AN47" s="3">
        <f t="shared" si="18"/>
        <v>0</v>
      </c>
      <c r="AO47" s="3">
        <f t="shared" si="18"/>
        <v>0</v>
      </c>
      <c r="AP47" s="3">
        <f t="shared" si="18"/>
        <v>0</v>
      </c>
      <c r="AQ47" s="3">
        <f t="shared" si="18"/>
        <v>0</v>
      </c>
      <c r="AS47" s="10" t="s">
        <v>20</v>
      </c>
      <c r="AT47" s="1"/>
      <c r="AU47" s="17"/>
      <c r="AV47" s="17"/>
      <c r="AW47" s="17"/>
      <c r="AX47" s="17"/>
      <c r="AY47" s="17"/>
      <c r="AZ47" s="17"/>
      <c r="BA47" s="17"/>
      <c r="BB47" s="17"/>
      <c r="BC47" s="18"/>
      <c r="BE47" s="39">
        <f>BH41</f>
        <v>0</v>
      </c>
      <c r="BF47" s="2"/>
      <c r="BO47" s="14"/>
    </row>
    <row r="48" spans="1:67">
      <c r="A48" s="4">
        <v>13</v>
      </c>
      <c r="B48" s="6">
        <f t="shared" si="7"/>
        <v>665.6</v>
      </c>
      <c r="C48" s="6">
        <f t="shared" si="8"/>
        <v>0</v>
      </c>
      <c r="D48" s="6">
        <f t="shared" si="8"/>
        <v>0</v>
      </c>
      <c r="E48" s="6">
        <f t="shared" si="8"/>
        <v>0</v>
      </c>
      <c r="F48" s="6">
        <f t="shared" si="8"/>
        <v>0</v>
      </c>
      <c r="G48" s="6">
        <f t="shared" si="8"/>
        <v>0</v>
      </c>
      <c r="H48" s="6">
        <f t="shared" si="8"/>
        <v>0</v>
      </c>
      <c r="I48" s="6">
        <f t="shared" si="8"/>
        <v>0</v>
      </c>
      <c r="J48" s="6">
        <f t="shared" si="8"/>
        <v>0</v>
      </c>
      <c r="L48" s="39">
        <f>T37</f>
        <v>0</v>
      </c>
      <c r="M48" s="5"/>
      <c r="N48" s="15"/>
      <c r="O48" s="15"/>
      <c r="P48" s="15"/>
      <c r="Q48" s="15"/>
      <c r="R48" s="15"/>
      <c r="S48" s="15"/>
      <c r="T48" s="16"/>
      <c r="Z48" s="3">
        <f t="shared" si="17"/>
        <v>0</v>
      </c>
      <c r="AA48" s="3">
        <f t="shared" si="17"/>
        <v>0</v>
      </c>
      <c r="AB48" s="3">
        <f t="shared" si="17"/>
        <v>0</v>
      </c>
      <c r="AC48" s="3">
        <f t="shared" si="17"/>
        <v>0</v>
      </c>
      <c r="AD48" s="3">
        <f t="shared" si="17"/>
        <v>0</v>
      </c>
      <c r="AE48" s="3">
        <f t="shared" si="17"/>
        <v>0</v>
      </c>
      <c r="AF48" s="3">
        <f t="shared" si="17"/>
        <v>0</v>
      </c>
      <c r="AG48" s="3">
        <f t="shared" si="17"/>
        <v>0</v>
      </c>
      <c r="AH48" s="3">
        <f t="shared" si="17"/>
        <v>0</v>
      </c>
      <c r="AI48" s="3">
        <f t="shared" si="18"/>
        <v>0</v>
      </c>
      <c r="AJ48" s="3">
        <f t="shared" si="18"/>
        <v>0</v>
      </c>
      <c r="AK48" s="3">
        <f t="shared" si="18"/>
        <v>0</v>
      </c>
      <c r="AL48" s="3">
        <f t="shared" si="18"/>
        <v>0</v>
      </c>
      <c r="AM48" s="3">
        <f t="shared" si="18"/>
        <v>0</v>
      </c>
      <c r="AN48" s="3">
        <f t="shared" si="18"/>
        <v>0</v>
      </c>
      <c r="AO48" s="3">
        <f t="shared" si="18"/>
        <v>0</v>
      </c>
      <c r="AP48" s="3">
        <f t="shared" si="18"/>
        <v>0</v>
      </c>
      <c r="AQ48" s="3">
        <f t="shared" si="18"/>
        <v>0</v>
      </c>
      <c r="AS48" s="10" t="s">
        <v>269</v>
      </c>
      <c r="AT48" s="5"/>
      <c r="AU48" s="15"/>
      <c r="AV48" s="15"/>
      <c r="AW48" s="15"/>
      <c r="AX48" s="15"/>
      <c r="AY48" s="15"/>
      <c r="AZ48" s="15"/>
      <c r="BA48" s="15"/>
      <c r="BB48" s="15"/>
      <c r="BC48" s="16"/>
      <c r="BE48" s="39">
        <f>BI41</f>
        <v>0</v>
      </c>
      <c r="BF48" s="2"/>
      <c r="BO48" s="14"/>
    </row>
    <row r="49" spans="1:67">
      <c r="A49" s="4">
        <v>14</v>
      </c>
      <c r="B49" s="6">
        <f t="shared" si="7"/>
        <v>716.8</v>
      </c>
      <c r="C49" s="6">
        <f t="shared" si="8"/>
        <v>0</v>
      </c>
      <c r="D49" s="6">
        <f t="shared" si="8"/>
        <v>0</v>
      </c>
      <c r="E49" s="6">
        <f t="shared" si="8"/>
        <v>0</v>
      </c>
      <c r="F49" s="6">
        <f t="shared" si="8"/>
        <v>0</v>
      </c>
      <c r="G49" s="6">
        <f t="shared" si="8"/>
        <v>0</v>
      </c>
      <c r="H49" s="6">
        <f t="shared" si="8"/>
        <v>0</v>
      </c>
      <c r="I49" s="6">
        <f t="shared" si="8"/>
        <v>0</v>
      </c>
      <c r="J49" s="6">
        <f t="shared" si="8"/>
        <v>0</v>
      </c>
      <c r="T49" s="3"/>
      <c r="Z49" s="3">
        <f>IF(Z47&lt;=$BA$12,Z47,"")</f>
        <v>0</v>
      </c>
      <c r="AA49" s="3">
        <f t="shared" ref="AA49:AQ49" si="19">IF(AA47&lt;=$BA$12,AA47,"")</f>
        <v>0</v>
      </c>
      <c r="AB49" s="3">
        <f t="shared" si="19"/>
        <v>0</v>
      </c>
      <c r="AC49" s="3">
        <f t="shared" si="19"/>
        <v>0</v>
      </c>
      <c r="AD49" s="3">
        <f t="shared" si="19"/>
        <v>0</v>
      </c>
      <c r="AE49" s="3">
        <f t="shared" si="19"/>
        <v>0</v>
      </c>
      <c r="AF49" s="3">
        <f t="shared" si="19"/>
        <v>0</v>
      </c>
      <c r="AG49" s="3">
        <f t="shared" si="19"/>
        <v>0</v>
      </c>
      <c r="AH49" s="3">
        <f t="shared" si="19"/>
        <v>0</v>
      </c>
      <c r="AI49" s="3">
        <f t="shared" si="19"/>
        <v>0</v>
      </c>
      <c r="AJ49" s="3">
        <f t="shared" si="19"/>
        <v>0</v>
      </c>
      <c r="AK49" s="3">
        <f t="shared" si="19"/>
        <v>0</v>
      </c>
      <c r="AL49" s="3">
        <f t="shared" si="19"/>
        <v>0</v>
      </c>
      <c r="AM49" s="3">
        <f t="shared" si="19"/>
        <v>0</v>
      </c>
      <c r="AN49" s="3">
        <f t="shared" si="19"/>
        <v>0</v>
      </c>
      <c r="AO49" s="3">
        <f t="shared" si="19"/>
        <v>0</v>
      </c>
      <c r="AP49" s="3">
        <f t="shared" si="19"/>
        <v>0</v>
      </c>
      <c r="AQ49" s="3">
        <f t="shared" si="19"/>
        <v>0</v>
      </c>
      <c r="BE49" s="39">
        <f>BJ41</f>
        <v>0</v>
      </c>
      <c r="BF49" s="2"/>
      <c r="BO49" s="14"/>
    </row>
    <row r="50" spans="1:67">
      <c r="A50" s="4">
        <v>15</v>
      </c>
      <c r="B50" s="6">
        <f t="shared" si="7"/>
        <v>768</v>
      </c>
      <c r="C50" s="6">
        <f t="shared" si="8"/>
        <v>0</v>
      </c>
      <c r="D50" s="6">
        <f t="shared" si="8"/>
        <v>0</v>
      </c>
      <c r="E50" s="6">
        <f t="shared" si="8"/>
        <v>0</v>
      </c>
      <c r="F50" s="6">
        <f t="shared" si="8"/>
        <v>0</v>
      </c>
      <c r="G50" s="6">
        <f t="shared" si="8"/>
        <v>0</v>
      </c>
      <c r="H50" s="6">
        <f t="shared" si="8"/>
        <v>0</v>
      </c>
      <c r="I50" s="6">
        <f t="shared" si="8"/>
        <v>0</v>
      </c>
      <c r="J50" s="6">
        <f t="shared" si="8"/>
        <v>0</v>
      </c>
      <c r="P50" s="11" t="s">
        <v>25</v>
      </c>
      <c r="Q50" s="11" t="s">
        <v>26</v>
      </c>
      <c r="R50" s="3" t="e">
        <f>HLOOKUP(M10,M18:T18,1,TRUE)</f>
        <v>#N/A</v>
      </c>
      <c r="S50" s="3" t="e">
        <f>_xlfn.XLOOKUP(Q52,M15:T15,M18:T18)</f>
        <v>#N/A</v>
      </c>
      <c r="T50" s="3"/>
      <c r="Z50" s="61">
        <f>IF(Z47&gt;=$BA$12,Z47,"")</f>
        <v>0</v>
      </c>
      <c r="AA50" s="61">
        <f t="shared" ref="AA50:AQ50" si="20">IF(AA47&gt;=$BA$12,AA47,"")</f>
        <v>0</v>
      </c>
      <c r="AB50" s="61">
        <f t="shared" si="20"/>
        <v>0</v>
      </c>
      <c r="AC50" s="61">
        <f t="shared" si="20"/>
        <v>0</v>
      </c>
      <c r="AD50" s="61">
        <f t="shared" si="20"/>
        <v>0</v>
      </c>
      <c r="AE50" s="61">
        <f t="shared" si="20"/>
        <v>0</v>
      </c>
      <c r="AF50" s="61">
        <f t="shared" si="20"/>
        <v>0</v>
      </c>
      <c r="AG50" s="61">
        <f t="shared" si="20"/>
        <v>0</v>
      </c>
      <c r="AH50" s="61">
        <f t="shared" si="20"/>
        <v>0</v>
      </c>
      <c r="AI50" s="61">
        <f t="shared" si="20"/>
        <v>0</v>
      </c>
      <c r="AJ50" s="61">
        <f t="shared" si="20"/>
        <v>0</v>
      </c>
      <c r="AK50" s="61">
        <f t="shared" si="20"/>
        <v>0</v>
      </c>
      <c r="AL50" s="61">
        <f t="shared" si="20"/>
        <v>0</v>
      </c>
      <c r="AM50" s="61">
        <f t="shared" si="20"/>
        <v>0</v>
      </c>
      <c r="AN50" s="61">
        <f t="shared" si="20"/>
        <v>0</v>
      </c>
      <c r="AO50" s="61">
        <f t="shared" si="20"/>
        <v>0</v>
      </c>
      <c r="AP50" s="61">
        <f t="shared" si="20"/>
        <v>0</v>
      </c>
      <c r="AQ50" s="61">
        <f t="shared" si="20"/>
        <v>0</v>
      </c>
      <c r="AS50" s="8" t="s">
        <v>288</v>
      </c>
      <c r="AT50" s="40">
        <f t="shared" ref="AT50:BC50" si="21">AT$48</f>
        <v>0</v>
      </c>
      <c r="AU50" s="40">
        <f t="shared" si="21"/>
        <v>0</v>
      </c>
      <c r="AV50" s="40">
        <f t="shared" si="21"/>
        <v>0</v>
      </c>
      <c r="AW50" s="40">
        <f t="shared" si="21"/>
        <v>0</v>
      </c>
      <c r="AX50" s="40">
        <f t="shared" si="21"/>
        <v>0</v>
      </c>
      <c r="AY50" s="40">
        <f t="shared" si="21"/>
        <v>0</v>
      </c>
      <c r="AZ50" s="40">
        <f t="shared" si="21"/>
        <v>0</v>
      </c>
      <c r="BA50" s="40">
        <f t="shared" si="21"/>
        <v>0</v>
      </c>
      <c r="BB50" s="40">
        <f t="shared" si="21"/>
        <v>0</v>
      </c>
      <c r="BC50" s="40">
        <f t="shared" si="21"/>
        <v>0</v>
      </c>
      <c r="BE50" s="39">
        <f>BK41</f>
        <v>0</v>
      </c>
      <c r="BF50" s="2"/>
      <c r="BO50" s="14"/>
    </row>
    <row r="51" spans="1:67">
      <c r="A51" s="4">
        <v>16</v>
      </c>
      <c r="B51" s="6">
        <f t="shared" si="7"/>
        <v>819.2</v>
      </c>
      <c r="C51" s="6">
        <f t="shared" si="8"/>
        <v>0</v>
      </c>
      <c r="D51" s="6">
        <f t="shared" si="8"/>
        <v>0</v>
      </c>
      <c r="E51" s="6">
        <f t="shared" si="8"/>
        <v>0</v>
      </c>
      <c r="F51" s="6">
        <f t="shared" si="8"/>
        <v>0</v>
      </c>
      <c r="G51" s="6">
        <f t="shared" si="8"/>
        <v>0</v>
      </c>
      <c r="H51" s="6">
        <f t="shared" si="8"/>
        <v>0</v>
      </c>
      <c r="I51" s="6">
        <f t="shared" si="8"/>
        <v>0</v>
      </c>
      <c r="J51" s="6">
        <f t="shared" si="8"/>
        <v>0</v>
      </c>
      <c r="L51" s="3" t="s">
        <v>17</v>
      </c>
      <c r="M51" s="11" t="e">
        <f>_xlfn.XLOOKUP(O51,M17:T17,M15:T15)</f>
        <v>#N/A</v>
      </c>
      <c r="N51" s="11" t="s">
        <v>10</v>
      </c>
      <c r="O51" s="11" t="e">
        <f>HLOOKUP(ROUNDUP(L10,1),M17:T17,1,TRUE)</f>
        <v>#N/A</v>
      </c>
      <c r="P51" s="3" t="s">
        <v>17</v>
      </c>
      <c r="Q51" s="11" t="e">
        <f>_xlfn.XLOOKUP(R50,M18:T18,M15:T15)</f>
        <v>#N/A</v>
      </c>
      <c r="R51" s="3" t="e">
        <f>VLOOKUP(O51,L22:T29,$Q$51+1,FALSE)</f>
        <v>#N/A</v>
      </c>
      <c r="S51" s="3" t="e">
        <f>VLOOKUP(O51,L22:T29,$Q$52+1,FALSE)</f>
        <v>#N/A</v>
      </c>
      <c r="T51" s="3"/>
      <c r="AS51" s="39">
        <f>AT47</f>
        <v>0</v>
      </c>
      <c r="AT51" s="1"/>
      <c r="AU51" s="17"/>
      <c r="AV51" s="17"/>
      <c r="AW51" s="17"/>
      <c r="AX51" s="17"/>
      <c r="AY51" s="17"/>
      <c r="AZ51" s="17"/>
      <c r="BA51" s="17"/>
      <c r="BB51" s="17"/>
      <c r="BC51" s="18"/>
      <c r="BE51" s="39">
        <f>BL41</f>
        <v>0</v>
      </c>
      <c r="BF51" s="2"/>
      <c r="BO51" s="14"/>
    </row>
    <row r="52" spans="1:67">
      <c r="A52" s="4">
        <v>17</v>
      </c>
      <c r="B52" s="6">
        <f t="shared" si="7"/>
        <v>870.4</v>
      </c>
      <c r="C52" s="6">
        <f t="shared" si="8"/>
        <v>0</v>
      </c>
      <c r="D52" s="6">
        <f t="shared" si="8"/>
        <v>0</v>
      </c>
      <c r="E52" s="6">
        <f t="shared" si="8"/>
        <v>0</v>
      </c>
      <c r="F52" s="6">
        <f t="shared" si="8"/>
        <v>0</v>
      </c>
      <c r="G52" s="6">
        <f t="shared" si="8"/>
        <v>0</v>
      </c>
      <c r="H52" s="6">
        <f t="shared" si="8"/>
        <v>0</v>
      </c>
      <c r="I52" s="6">
        <f t="shared" si="8"/>
        <v>0</v>
      </c>
      <c r="J52" s="6">
        <f t="shared" si="8"/>
        <v>0</v>
      </c>
      <c r="L52" s="11" t="s">
        <v>18</v>
      </c>
      <c r="M52" s="11" t="e">
        <f>M51+1</f>
        <v>#N/A</v>
      </c>
      <c r="N52" s="11" t="s">
        <v>11</v>
      </c>
      <c r="O52" s="11" t="e">
        <f>_xlfn.XLOOKUP(M52,M15:T15,M17:T17)</f>
        <v>#N/A</v>
      </c>
      <c r="P52" s="11" t="s">
        <v>18</v>
      </c>
      <c r="Q52" s="11" t="e">
        <f>Q51+1</f>
        <v>#N/A</v>
      </c>
      <c r="R52" s="3" t="e">
        <f>VLOOKUP(O52,L22:T29,$Q$51+1,FALSE)</f>
        <v>#N/A</v>
      </c>
      <c r="S52" s="3" t="e">
        <f>VLOOKUP(O52,L22:T29,$Q$52+1,FALSE)</f>
        <v>#N/A</v>
      </c>
      <c r="AS52" s="39">
        <f>AU47</f>
        <v>0</v>
      </c>
      <c r="AT52" s="2"/>
      <c r="BC52" s="14"/>
      <c r="BE52" s="39">
        <f>BM41</f>
        <v>0</v>
      </c>
      <c r="BF52" s="2"/>
      <c r="BO52" s="14"/>
    </row>
    <row r="53" spans="1:67">
      <c r="A53" s="4">
        <v>18</v>
      </c>
      <c r="B53" s="6">
        <f t="shared" si="7"/>
        <v>921.6</v>
      </c>
      <c r="C53" s="6">
        <f t="shared" si="8"/>
        <v>0</v>
      </c>
      <c r="D53" s="6">
        <f t="shared" si="8"/>
        <v>0</v>
      </c>
      <c r="E53" s="6">
        <f t="shared" si="8"/>
        <v>0</v>
      </c>
      <c r="F53" s="6">
        <f t="shared" si="8"/>
        <v>0</v>
      </c>
      <c r="G53" s="6">
        <f t="shared" si="8"/>
        <v>0</v>
      </c>
      <c r="H53" s="6">
        <f t="shared" si="8"/>
        <v>0</v>
      </c>
      <c r="I53" s="6">
        <f t="shared" si="8"/>
        <v>0</v>
      </c>
      <c r="J53" s="6">
        <f t="shared" si="8"/>
        <v>0</v>
      </c>
      <c r="T53" s="3"/>
      <c r="AS53" s="39">
        <f>AV47</f>
        <v>0</v>
      </c>
      <c r="AT53" s="2"/>
      <c r="BC53" s="14"/>
      <c r="BE53" s="39">
        <f>BN41</f>
        <v>0</v>
      </c>
      <c r="BF53" s="2"/>
      <c r="BO53" s="14"/>
    </row>
    <row r="54" spans="1:67">
      <c r="A54" s="4">
        <v>19</v>
      </c>
      <c r="B54" s="6">
        <f t="shared" si="7"/>
        <v>972.8</v>
      </c>
      <c r="C54" s="6">
        <f t="shared" si="8"/>
        <v>0</v>
      </c>
      <c r="D54" s="6">
        <f t="shared" si="8"/>
        <v>0</v>
      </c>
      <c r="E54" s="6">
        <f t="shared" si="8"/>
        <v>0</v>
      </c>
      <c r="F54" s="6">
        <f t="shared" si="8"/>
        <v>0</v>
      </c>
      <c r="G54" s="6">
        <f t="shared" si="8"/>
        <v>0</v>
      </c>
      <c r="H54" s="6">
        <f t="shared" si="8"/>
        <v>0</v>
      </c>
      <c r="I54" s="6">
        <f t="shared" si="8"/>
        <v>0</v>
      </c>
      <c r="J54" s="6">
        <f t="shared" si="8"/>
        <v>0</v>
      </c>
      <c r="P54" s="11" t="s">
        <v>254</v>
      </c>
      <c r="Q54" s="11" t="s">
        <v>255</v>
      </c>
      <c r="R54" s="3" t="e">
        <f>HLOOKUP(M30,M38:T38,1,TRUE)</f>
        <v>#N/A</v>
      </c>
      <c r="S54" s="3" t="e">
        <f>_xlfn.XLOOKUP(Q56,M35:T35,M38:T38)</f>
        <v>#N/A</v>
      </c>
      <c r="T54" s="3"/>
      <c r="AS54" s="39">
        <f>AW47</f>
        <v>0</v>
      </c>
      <c r="AT54" s="2"/>
      <c r="BC54" s="14"/>
      <c r="BE54" s="39">
        <f>BO41</f>
        <v>0</v>
      </c>
      <c r="BF54" s="5"/>
      <c r="BG54" s="15"/>
      <c r="BH54" s="15"/>
      <c r="BI54" s="15"/>
      <c r="BJ54" s="15"/>
      <c r="BK54" s="15"/>
      <c r="BL54" s="15"/>
      <c r="BM54" s="15"/>
      <c r="BN54" s="15"/>
      <c r="BO54" s="16"/>
    </row>
    <row r="55" spans="1:67">
      <c r="B55" s="6">
        <f>1024</f>
        <v>1024</v>
      </c>
      <c r="C55" s="6">
        <f t="shared" si="8"/>
        <v>0</v>
      </c>
      <c r="D55" s="6">
        <f t="shared" si="8"/>
        <v>0</v>
      </c>
      <c r="E55" s="6">
        <f t="shared" si="8"/>
        <v>0</v>
      </c>
      <c r="F55" s="6">
        <f t="shared" si="8"/>
        <v>0</v>
      </c>
      <c r="G55" s="6">
        <f t="shared" si="8"/>
        <v>0</v>
      </c>
      <c r="H55" s="6">
        <f t="shared" si="8"/>
        <v>0</v>
      </c>
      <c r="I55" s="6">
        <f t="shared" si="8"/>
        <v>0</v>
      </c>
      <c r="J55" s="6">
        <f t="shared" si="8"/>
        <v>0</v>
      </c>
      <c r="L55" s="3" t="s">
        <v>17</v>
      </c>
      <c r="M55" s="11" t="e">
        <f>_xlfn.XLOOKUP(O55,M37:T37,M35:T35)</f>
        <v>#N/A</v>
      </c>
      <c r="N55" s="11" t="s">
        <v>10</v>
      </c>
      <c r="O55" s="11" t="e">
        <f>HLOOKUP(ROUNDUP(L30,1),M37:T37,1,TRUE)</f>
        <v>#N/A</v>
      </c>
      <c r="P55" s="3" t="s">
        <v>17</v>
      </c>
      <c r="Q55" s="11" t="e">
        <f>_xlfn.XLOOKUP(R54,M38:T38,M35:T35)</f>
        <v>#N/A</v>
      </c>
      <c r="R55" s="3" t="e">
        <f>VLOOKUP(O55,L41:T48,Q55+1,FALSE)</f>
        <v>#N/A</v>
      </c>
      <c r="S55" s="3" t="e">
        <f>VLOOKUP(O55,L41:T48,Q56+1,FALSE)</f>
        <v>#N/A</v>
      </c>
      <c r="T55" s="3"/>
      <c r="AS55" s="39">
        <f>AX47</f>
        <v>0</v>
      </c>
      <c r="AT55" s="2"/>
      <c r="BC55" s="14"/>
    </row>
    <row r="56" spans="1:67">
      <c r="L56" s="11" t="s">
        <v>18</v>
      </c>
      <c r="M56" s="11" t="e">
        <f>M55+1</f>
        <v>#N/A</v>
      </c>
      <c r="N56" s="11" t="s">
        <v>11</v>
      </c>
      <c r="O56" s="11" t="e">
        <f>_xlfn.XLOOKUP(M56,M35:T35,M37:T37)</f>
        <v>#N/A</v>
      </c>
      <c r="P56" s="11" t="s">
        <v>18</v>
      </c>
      <c r="Q56" s="11" t="e">
        <f>Q55+1</f>
        <v>#N/A</v>
      </c>
      <c r="R56" s="3" t="e">
        <f>VLOOKUP(O56,L41:T48,Q55+1,FALSE)</f>
        <v>#N/A</v>
      </c>
      <c r="S56" s="3" t="e">
        <f>VLOOKUP(O56,L41:T48,Q56+1,FALSE)</f>
        <v>#N/A</v>
      </c>
      <c r="AS56" s="39">
        <f>AY47</f>
        <v>0</v>
      </c>
      <c r="AT56" s="2"/>
      <c r="BC56" s="14"/>
    </row>
    <row r="57" spans="1:67">
      <c r="T57" s="11"/>
      <c r="AS57" s="39">
        <f>AZ47</f>
        <v>0</v>
      </c>
      <c r="AT57" s="2"/>
      <c r="BC57" s="14"/>
    </row>
    <row r="58" spans="1:67">
      <c r="L58" s="3" t="s">
        <v>17</v>
      </c>
      <c r="M58" s="3" t="e">
        <f>_xlfn.XLOOKUP(O58,W17:AI17,W15:AI15)</f>
        <v>#N/A</v>
      </c>
      <c r="N58" s="3" t="s">
        <v>10</v>
      </c>
      <c r="O58" s="3" t="e">
        <f>HLOOKUP(ROUNDUP(V10,1),W17:AI17,1,TRUE)</f>
        <v>#N/A</v>
      </c>
      <c r="P58" s="3" t="s">
        <v>17</v>
      </c>
      <c r="Q58" s="3" t="e">
        <f>_xlfn.XLOOKUP(S58,W18:AI18,W15:AI15)</f>
        <v>#N/A</v>
      </c>
      <c r="R58" s="11" t="s">
        <v>25</v>
      </c>
      <c r="S58" s="11" t="e">
        <f>HLOOKUP(ROUNDUP(W10,1),W18:AI18,1,TRUE)</f>
        <v>#N/A</v>
      </c>
      <c r="T58" s="11"/>
      <c r="AS58" s="39">
        <f>BA47</f>
        <v>0</v>
      </c>
      <c r="AT58" s="2"/>
      <c r="BC58" s="14"/>
    </row>
    <row r="59" spans="1:67">
      <c r="B59" s="123" t="str">
        <f>_xlfn.CONCAT("{ ",C18,", ", D18,", ", E18,", ", F18,", ", G18,", ", H18,", ", I18," }, //MainTHD_based;
	            { ",C19,", ", D19,", ", E19,", ", F19,", ", G19,", ", H19,", ", I19," }, //MainTHD_exp;")</f>
        <v>{ , , , , , ,  }, //MainTHD_based;
	            { , , , , , ,  }, //MainTHD_exp;</v>
      </c>
      <c r="C59" s="124"/>
      <c r="D59" s="124"/>
      <c r="E59" s="124"/>
      <c r="F59" s="124"/>
      <c r="G59" s="124"/>
      <c r="H59" s="124"/>
      <c r="I59" s="124"/>
      <c r="J59" s="43"/>
      <c r="L59" s="3" t="s">
        <v>18</v>
      </c>
      <c r="M59" s="3" t="e">
        <f>M58+1</f>
        <v>#N/A</v>
      </c>
      <c r="N59" s="3" t="s">
        <v>11</v>
      </c>
      <c r="O59" s="3" t="e">
        <f>_xlfn.XLOOKUP(M59,W15:AI15,W17:AI17)</f>
        <v>#N/A</v>
      </c>
      <c r="P59" s="3" t="s">
        <v>18</v>
      </c>
      <c r="Q59" s="3" t="e">
        <f>Q58+1</f>
        <v>#N/A</v>
      </c>
      <c r="R59" s="11" t="s">
        <v>26</v>
      </c>
      <c r="S59" s="11" t="e">
        <f>_xlfn.XLOOKUP(Q59,W15:AI15,W18:AI18)</f>
        <v>#N/A</v>
      </c>
      <c r="AS59" s="39">
        <f>BB47</f>
        <v>0</v>
      </c>
      <c r="AT59" s="2"/>
      <c r="BC59" s="14"/>
    </row>
    <row r="60" spans="1:67">
      <c r="B60" s="124"/>
      <c r="C60" s="124"/>
      <c r="D60" s="124"/>
      <c r="E60" s="124"/>
      <c r="F60" s="124"/>
      <c r="G60" s="124"/>
      <c r="H60" s="124"/>
      <c r="I60" s="124"/>
      <c r="J60" s="43"/>
      <c r="L60" s="3"/>
      <c r="M60" s="3"/>
      <c r="N60" s="3"/>
      <c r="O60" s="3"/>
      <c r="T60" s="6"/>
      <c r="AS60" s="39">
        <f>BC47</f>
        <v>0</v>
      </c>
      <c r="AT60" s="5"/>
      <c r="AU60" s="15"/>
      <c r="AV60" s="15"/>
      <c r="AW60" s="15"/>
      <c r="AX60" s="15"/>
      <c r="AY60" s="15"/>
      <c r="AZ60" s="15"/>
      <c r="BA60" s="15"/>
      <c r="BB60" s="15"/>
      <c r="BC60" s="16"/>
    </row>
    <row r="61" spans="1:67">
      <c r="B61" s="3"/>
      <c r="C61" s="3"/>
      <c r="D61" s="3"/>
      <c r="E61" s="3"/>
      <c r="F61" s="3"/>
      <c r="G61" s="3"/>
      <c r="H61" s="3"/>
      <c r="I61" s="3"/>
      <c r="L61" s="3" t="s">
        <v>17</v>
      </c>
      <c r="M61" s="3" t="e">
        <f>_xlfn.XLOOKUP(O61,W19:AI19,W15:AI15)</f>
        <v>#N/A</v>
      </c>
      <c r="N61" s="3" t="s">
        <v>36</v>
      </c>
      <c r="O61" s="3" t="e">
        <f>HLOOKUP(ROUNDUP(T14,1),W19:AI19,1,TRUE)</f>
        <v>#N/A</v>
      </c>
      <c r="P61" s="6" t="e">
        <f>AJ16+((AJ17-AJ16)*($W$10-$S$58)/($S$59-$S$58))+((((AN16+((AN17-AN16)*($W$10-$S$58)/($S$59-$S$58))))-(AJ16+((AJ17-AJ16)*($W$10-$S$58)/($S$59-$S$58))))*($T$14-$O$61)/($O$62-$O$61))</f>
        <v>#N/A</v>
      </c>
      <c r="Q61" s="6" t="e">
        <f>AK16+((AK17-AK16)*($W$10-$S$58)/($S$59-$S$58))+((((AO16+((AO17-AO16)*($W$10-$S$58)/($S$59-$S$58))))-(AK16+((AK17-AK16)*($W$10-$S$58)/($S$59-$S$58))))*($T$14-$O$61)/($O$62-$O$61))</f>
        <v>#N/A</v>
      </c>
      <c r="R61" s="6" t="e">
        <f>AL16+((AL17-AL16)*($W$10-$S$58)/($S$59-$S$58))+((((AP16+((AP17-AP16)*($W$10-$S$58)/($S$59-$S$58))))-(AL16+((AL17-AL16)*($W$10-$S$58)/($S$59-$S$58))))*($T$14-$O$61)/($O$62-$O$61))</f>
        <v>#N/A</v>
      </c>
      <c r="S61" s="6" t="e">
        <f>AM16+((AM17-AM16)*($W$10-$S$58)/($S$59-$S$58))+((((AQ16+((AQ17-AQ16)*($W$10-$S$58)/($S$59-$S$58))))-(AM16+((AM17-AM16)*($W$10-$S$58)/($S$59-$S$58))))*($T$14-$O$61)/($O$62-$O$61))</f>
        <v>#N/A</v>
      </c>
      <c r="T61" s="6"/>
      <c r="AS61" s="3" t="s">
        <v>16</v>
      </c>
      <c r="AT61" s="11">
        <v>1</v>
      </c>
      <c r="AU61" s="11">
        <v>2</v>
      </c>
      <c r="AV61" s="11">
        <v>3</v>
      </c>
      <c r="AW61" s="11">
        <v>4</v>
      </c>
      <c r="AX61" s="11">
        <v>5</v>
      </c>
      <c r="AY61" s="11">
        <v>6</v>
      </c>
      <c r="AZ61" s="11">
        <v>7</v>
      </c>
      <c r="BA61" s="11">
        <v>8</v>
      </c>
      <c r="BB61" s="11">
        <v>9</v>
      </c>
      <c r="BC61" s="11">
        <v>10</v>
      </c>
    </row>
    <row r="62" spans="1:67" ht="16.5" customHeight="1">
      <c r="B62" s="123" t="str">
        <f>_xlfn.CONCAT(G62,CHAR(10),G63,CHAR(10),G64,CHAR(10),G65,CHAR(10),G66,CHAR(10),G67,CHAR(10),G68)</f>
        <v>//BV0-THD
	                , , , , , , ,
	                //BV1-THD
	                , , , , , , ,
	                //BV2-THD
	                , , , , , , ,
	                //BV3-THD
	                , , , , , , ,
	                //BV4-THD
	                , , , , , , ,
	                //BV5-THD
	                , , , , , , ,
	                //BV6-THD
	                , , , , , , ,</v>
      </c>
      <c r="C62" s="123"/>
      <c r="D62" s="123"/>
      <c r="E62" s="123"/>
      <c r="F62" s="123"/>
      <c r="G62" s="37" t="str">
        <f>_xlfn.CONCAT("//BV0-THD
	                ",M22,", ",N22,", ",O22,", ",P22,", ",Q22,", ",R22,", ",S22,",")</f>
        <v>//BV0-THD
	                , , , , , , ,</v>
      </c>
      <c r="H62" s="3"/>
      <c r="I62" s="50"/>
      <c r="J62" s="43"/>
      <c r="L62" s="3" t="s">
        <v>18</v>
      </c>
      <c r="M62" s="3" t="e">
        <f>M61+1</f>
        <v>#N/A</v>
      </c>
      <c r="N62" s="3" t="s">
        <v>37</v>
      </c>
      <c r="O62" s="3" t="e">
        <f>_xlfn.XLOOKUP(M62,W15:AI15,W19:AI19)</f>
        <v>#N/A</v>
      </c>
      <c r="P62" s="6" t="e">
        <f>AJ18+((AJ19-AJ18)*($W$10-$S$58)/($S$59-$S$58))+((((AN18+((AN19-AN18)*($W$10-$S$58)/($S$59-$S$58))))-(AJ18+((AJ19-AJ18)*($W$10-$S$58)/($S$59-$S$58))))*($T$14-$O$61)/($O$62-$O$61))</f>
        <v>#N/A</v>
      </c>
      <c r="Q62" s="6" t="e">
        <f>AK18+((AK19-AK18)*($W$10-$S$58)/($S$59-$S$58))+((((AO18+((AO19-AO18)*($W$10-$S$58)/($S$59-$S$58))))-(AK18+((AK19-AK18)*($W$10-$S$58)/($S$59-$S$58))))*($T$14-$O$61)/($O$62-$O$61))</f>
        <v>#N/A</v>
      </c>
      <c r="R62" s="6" t="e">
        <f>AL18+((AL19-AL18)*($W$10-$S$58)/($S$59-$S$58))+((((AP18+((AP19-AP18)*($W$10-$S$58)/($S$59-$S$58))))-(AL18+((AL19-AL18)*($W$10-$S$58)/($S$59-$S$58))))*($T$14-$O$61)/($O$62-$O$61))</f>
        <v>#N/A</v>
      </c>
      <c r="S62" s="6" t="e">
        <f>AM18+((AM19-AM18)*($W$10-$S$58)/($S$59-$S$58))+((((AQ18+((AQ19-AQ18)*($W$10-$S$58)/($S$59-$S$58))))-(AM18+((AM19-AM18)*($W$10-$S$58)/($S$59-$S$58))))*($T$14-$O$61)/($O$62-$O$61))</f>
        <v>#N/A</v>
      </c>
      <c r="AS62" s="128" t="s">
        <v>287</v>
      </c>
      <c r="AT62" s="129"/>
      <c r="AU62" s="129"/>
      <c r="AV62" s="129"/>
      <c r="AW62" s="129"/>
      <c r="AX62" s="129"/>
      <c r="AY62" s="129"/>
      <c r="AZ62" s="129"/>
      <c r="BA62" s="129"/>
      <c r="BB62" s="129"/>
      <c r="BC62" s="130"/>
    </row>
    <row r="63" spans="1:67">
      <c r="B63" s="123"/>
      <c r="C63" s="123"/>
      <c r="D63" s="123"/>
      <c r="E63" s="123"/>
      <c r="F63" s="123"/>
      <c r="G63" s="37" t="str">
        <f>_xlfn.CONCAT("	                //BV1-THD
	                ",M23,", ",N23,", ",O23,", ",P23,", ",Q23,", ",R23,", ",S23,",")</f>
        <v xml:space="preserve">	                //BV1-THD
	                , , , , , , ,</v>
      </c>
      <c r="H63" s="3"/>
      <c r="I63" s="50"/>
      <c r="J63" s="43"/>
      <c r="AS63" s="131"/>
      <c r="AT63" s="132"/>
      <c r="AU63" s="132"/>
      <c r="AV63" s="132"/>
      <c r="AW63" s="132"/>
      <c r="AX63" s="132"/>
      <c r="AY63" s="132"/>
      <c r="AZ63" s="132"/>
      <c r="BA63" s="132"/>
      <c r="BB63" s="132"/>
      <c r="BC63" s="133"/>
    </row>
    <row r="64" spans="1:67">
      <c r="B64" s="123"/>
      <c r="C64" s="123"/>
      <c r="D64" s="123"/>
      <c r="E64" s="123"/>
      <c r="F64" s="123"/>
      <c r="G64" s="37" t="str">
        <f>_xlfn.CONCAT("	                //BV2-THD
	                ",M24,", ",N24,", ",O24,", ",P24,", ",Q24,", ",R24,", ",S24,",")</f>
        <v xml:space="preserve">	                //BV2-THD
	                , , , , , , ,</v>
      </c>
      <c r="H64" s="3"/>
      <c r="I64" s="3"/>
      <c r="AS64" s="10" t="s">
        <v>20</v>
      </c>
      <c r="AT64" s="1"/>
      <c r="AU64" s="17"/>
      <c r="AV64" s="17"/>
      <c r="AW64" s="17"/>
      <c r="AX64" s="17"/>
      <c r="AY64" s="17"/>
      <c r="AZ64" s="17"/>
      <c r="BA64" s="17"/>
      <c r="BB64" s="17"/>
      <c r="BC64" s="18"/>
    </row>
    <row r="65" spans="2:64">
      <c r="B65" s="123"/>
      <c r="C65" s="123"/>
      <c r="D65" s="123"/>
      <c r="E65" s="123"/>
      <c r="F65" s="123"/>
      <c r="G65" s="37" t="str">
        <f>_xlfn.CONCAT("	                //BV3-THD
	                ",M25,", ",N25,", ",O25,", ",P25,", ",Q25,", ",R25,", ",S25,",")</f>
        <v xml:space="preserve">	                //BV3-THD
	                , , , , , , ,</v>
      </c>
      <c r="H65" s="3"/>
      <c r="I65" s="3"/>
      <c r="AS65" s="10" t="s">
        <v>269</v>
      </c>
      <c r="AT65" s="5"/>
      <c r="AU65" s="15"/>
      <c r="AV65" s="15"/>
      <c r="AW65" s="15"/>
      <c r="AX65" s="15"/>
      <c r="AY65" s="15"/>
      <c r="AZ65" s="15"/>
      <c r="BA65" s="15"/>
      <c r="BB65" s="15"/>
      <c r="BC65" s="16"/>
    </row>
    <row r="66" spans="2:64">
      <c r="B66" s="123"/>
      <c r="C66" s="123"/>
      <c r="D66" s="123"/>
      <c r="E66" s="123"/>
      <c r="F66" s="123"/>
      <c r="G66" s="37" t="str">
        <f>_xlfn.CONCAT("	                //BV4-THD
	                ",M26,", ",N26,", ",O26,", ",P26,", ",Q26,", ",R26,", ",S26,",")</f>
        <v xml:space="preserve">	                //BV4-THD
	                , , , , , , ,</v>
      </c>
      <c r="H66" s="3"/>
      <c r="I66" s="3"/>
    </row>
    <row r="67" spans="2:64">
      <c r="B67" s="123"/>
      <c r="C67" s="123"/>
      <c r="D67" s="123"/>
      <c r="E67" s="123"/>
      <c r="F67" s="123"/>
      <c r="G67" s="37" t="str">
        <f>_xlfn.CONCAT("	                //BV5-THD
	                ",M27,", ",N27,", ",O27,", ",P27,", ",Q27,", ",R27,", ",S27,",")</f>
        <v xml:space="preserve">	                //BV5-THD
	                , , , , , , ,</v>
      </c>
      <c r="H67" s="3"/>
      <c r="I67" s="3"/>
      <c r="AS67" s="8" t="s">
        <v>288</v>
      </c>
      <c r="AT67" s="40">
        <f>AT65</f>
        <v>0</v>
      </c>
      <c r="AU67" s="40">
        <f t="shared" ref="AU67:BC67" si="22">AU65</f>
        <v>0</v>
      </c>
      <c r="AV67" s="40">
        <f t="shared" si="22"/>
        <v>0</v>
      </c>
      <c r="AW67" s="40">
        <f t="shared" si="22"/>
        <v>0</v>
      </c>
      <c r="AX67" s="40">
        <f t="shared" si="22"/>
        <v>0</v>
      </c>
      <c r="AY67" s="40">
        <f t="shared" si="22"/>
        <v>0</v>
      </c>
      <c r="AZ67" s="40">
        <f t="shared" si="22"/>
        <v>0</v>
      </c>
      <c r="BA67" s="40">
        <f t="shared" si="22"/>
        <v>0</v>
      </c>
      <c r="BB67" s="40">
        <f t="shared" si="22"/>
        <v>0</v>
      </c>
      <c r="BC67" s="40">
        <f t="shared" si="22"/>
        <v>0</v>
      </c>
    </row>
    <row r="68" spans="2:64">
      <c r="B68" s="123"/>
      <c r="C68" s="123"/>
      <c r="D68" s="123"/>
      <c r="E68" s="123"/>
      <c r="F68" s="123"/>
      <c r="G68" s="37" t="str">
        <f>_xlfn.CONCAT("	                //BV6-THD
	                ",M28,", ",N28,", ",O28,", ",P28,", ",Q28,", ",R28,", ",S28,",")</f>
        <v xml:space="preserve">	                //BV6-THD
	                , , , , , , ,</v>
      </c>
      <c r="H68" s="3"/>
      <c r="I68" s="3"/>
      <c r="AS68" s="39">
        <f>AT64</f>
        <v>0</v>
      </c>
      <c r="AT68" s="1"/>
      <c r="AU68" s="17"/>
      <c r="AV68" s="17"/>
      <c r="AW68" s="17"/>
      <c r="AX68" s="17"/>
      <c r="AY68" s="17"/>
      <c r="AZ68" s="17"/>
      <c r="BA68" s="17"/>
      <c r="BB68" s="17"/>
      <c r="BC68" s="18"/>
    </row>
    <row r="69" spans="2:64">
      <c r="B69" s="123"/>
      <c r="C69" s="123"/>
      <c r="D69" s="123"/>
      <c r="E69" s="123"/>
      <c r="F69" s="123"/>
      <c r="G69" s="51"/>
      <c r="H69" s="3"/>
      <c r="I69" s="3"/>
      <c r="AS69" s="39">
        <f>AU64</f>
        <v>0</v>
      </c>
      <c r="AT69" s="2"/>
      <c r="BC69" s="14"/>
    </row>
    <row r="70" spans="2:64">
      <c r="B70" s="123"/>
      <c r="C70" s="123"/>
      <c r="D70" s="123"/>
      <c r="E70" s="123"/>
      <c r="F70" s="123"/>
      <c r="G70" s="3"/>
      <c r="H70" s="3"/>
      <c r="I70" s="3"/>
      <c r="AS70" s="39">
        <f>AV64</f>
        <v>0</v>
      </c>
      <c r="AT70" s="2"/>
      <c r="BC70" s="14"/>
    </row>
    <row r="71" spans="2:64">
      <c r="B71" s="123"/>
      <c r="C71" s="123"/>
      <c r="D71" s="123"/>
      <c r="E71" s="123"/>
      <c r="F71" s="123"/>
      <c r="G71" s="3"/>
      <c r="H71" s="3"/>
      <c r="I71" s="3"/>
      <c r="AS71" s="39">
        <f>AW64</f>
        <v>0</v>
      </c>
      <c r="AT71" s="2"/>
      <c r="BC71" s="14"/>
    </row>
    <row r="72" spans="2:64">
      <c r="B72" s="123"/>
      <c r="C72" s="123"/>
      <c r="D72" s="123"/>
      <c r="E72" s="123"/>
      <c r="F72" s="123"/>
      <c r="G72" s="3"/>
      <c r="H72" s="3"/>
      <c r="I72" s="3"/>
      <c r="AS72" s="39">
        <f>AX64</f>
        <v>0</v>
      </c>
      <c r="AT72" s="2"/>
      <c r="BC72" s="14"/>
    </row>
    <row r="73" spans="2:64">
      <c r="B73" s="123"/>
      <c r="C73" s="123"/>
      <c r="D73" s="123"/>
      <c r="E73" s="123"/>
      <c r="F73" s="123"/>
      <c r="G73" s="3"/>
      <c r="H73" s="3"/>
      <c r="I73" s="3"/>
      <c r="AS73" s="39">
        <f>AY64</f>
        <v>0</v>
      </c>
      <c r="AT73" s="2"/>
      <c r="BC73" s="14"/>
      <c r="BK73" s="3"/>
      <c r="BL73" s="3"/>
    </row>
    <row r="74" spans="2:64">
      <c r="B74" s="123"/>
      <c r="C74" s="123"/>
      <c r="D74" s="123"/>
      <c r="E74" s="123"/>
      <c r="F74" s="123"/>
      <c r="G74" s="3"/>
      <c r="H74" s="3"/>
      <c r="I74" s="3"/>
      <c r="AS74" s="39">
        <f>AZ64</f>
        <v>0</v>
      </c>
      <c r="AT74" s="2"/>
      <c r="BC74" s="14"/>
      <c r="BF74" s="11"/>
      <c r="BH74" s="11"/>
      <c r="BJ74" s="11"/>
      <c r="BK74" s="3"/>
      <c r="BL74" s="3"/>
    </row>
    <row r="75" spans="2:64">
      <c r="B75" s="123"/>
      <c r="C75" s="123"/>
      <c r="D75" s="123"/>
      <c r="E75" s="123"/>
      <c r="F75" s="123"/>
      <c r="G75" s="3"/>
      <c r="H75" s="3"/>
      <c r="I75" s="3"/>
      <c r="AS75" s="39">
        <f>BA64</f>
        <v>0</v>
      </c>
      <c r="AT75" s="2"/>
      <c r="BC75" s="14"/>
      <c r="BF75" s="11"/>
      <c r="BH75" s="11"/>
      <c r="BJ75" s="11"/>
      <c r="BK75" s="3"/>
      <c r="BL75" s="3"/>
    </row>
    <row r="76" spans="2:64">
      <c r="B76" s="3"/>
      <c r="C76" s="3"/>
      <c r="D76" s="3"/>
      <c r="E76" s="3"/>
      <c r="F76" s="3"/>
      <c r="G76" s="3"/>
      <c r="H76" s="3"/>
      <c r="I76" s="3"/>
      <c r="AS76" s="39">
        <f>BB64</f>
        <v>0</v>
      </c>
      <c r="AT76" s="2"/>
      <c r="BC76" s="14"/>
    </row>
    <row r="77" spans="2:64" ht="16.5" customHeight="1">
      <c r="B77" s="123" t="str">
        <f>_xlfn.CONCAT(G77,CHAR(10),G78,CHAR(10),G79,CHAR(10),G80,CHAR(10),G81,CHAR(10),G82,CHAR(10),G83)</f>
        <v>//L_DR_B2M                             H_BM  (reserved)
	                ,  ,  ,  ,  ,  //Low BV
	                ,  ,  ,  ,  ,
	                ,  ,  ,  ,  ,
	                ,  ,  ,  ,  ,
	                ,  ,  ,  ,  ,
	                ,  ,  ,  ,  ,
	                ,  ,  ,  ,  ,  //High BV</v>
      </c>
      <c r="C77" s="123"/>
      <c r="D77" s="123"/>
      <c r="E77" s="123"/>
      <c r="F77" s="123"/>
      <c r="G77" s="37" t="str">
        <f>_xlfn.CONCAT("//L_DR_B2M                             H_BM  (reserved)
	                ",M41,",  ",N41,",  ",O41,",  ",P41,",  ",Q41,",  //Low BV")</f>
        <v>//L_DR_B2M                             H_BM  (reserved)
	                ,  ,  ,  ,  ,  //Low BV</v>
      </c>
      <c r="H77" s="3"/>
      <c r="I77" s="3"/>
      <c r="AS77" s="39">
        <f>BC64</f>
        <v>0</v>
      </c>
      <c r="AT77" s="5"/>
      <c r="AU77" s="15"/>
      <c r="AV77" s="15"/>
      <c r="AW77" s="15"/>
      <c r="AX77" s="15"/>
      <c r="AY77" s="15"/>
      <c r="AZ77" s="15"/>
      <c r="BA77" s="15"/>
      <c r="BB77" s="15"/>
      <c r="BC77" s="16"/>
    </row>
    <row r="78" spans="2:64">
      <c r="B78" s="123"/>
      <c r="C78" s="123"/>
      <c r="D78" s="123"/>
      <c r="E78" s="123"/>
      <c r="F78" s="123"/>
      <c r="G78" s="37" t="str">
        <f>_xlfn.CONCAT("	                ",M42,",  ",N42,",  ",O42,",  ",P42,",  ",Q42,",")</f>
        <v xml:space="preserve">	                ,  ,  ,  ,  ,</v>
      </c>
      <c r="H78" s="3"/>
      <c r="I78" s="3"/>
    </row>
    <row r="79" spans="2:64">
      <c r="B79" s="123"/>
      <c r="C79" s="123"/>
      <c r="D79" s="123"/>
      <c r="E79" s="123"/>
      <c r="F79" s="123"/>
      <c r="G79" s="37" t="str">
        <f>_xlfn.CONCAT("	                ",M43,",  ",N43,",  ",O43,",  ",P43,",  ",Q43,",")</f>
        <v xml:space="preserve">	                ,  ,  ,  ,  ,</v>
      </c>
      <c r="H79" s="3"/>
      <c r="I79" s="3"/>
      <c r="AS79" s="3" t="e">
        <f>INT((AY80+((AY81-AY80)*(AS10-AV80)/(AV81-AV80)))+(((AZ80+((AZ81-AZ80)*(AS10-AV80)/(AV81-AV80)))-(AY80+((AY81-AY80)*(AS10-AV80)/(AV81-AV80))))*(AT10-AY79)/(AZ79-AY79)))</f>
        <v>#N/A</v>
      </c>
      <c r="AW79" s="11" t="s">
        <v>294</v>
      </c>
      <c r="AX79" s="11" t="s">
        <v>295</v>
      </c>
      <c r="AY79" s="3" t="e">
        <f>HLOOKUP(AT10,AT30:BC30,1,TRUE)</f>
        <v>#N/A</v>
      </c>
      <c r="AZ79" s="3" t="e">
        <f>_xlfn.XLOOKUP(AX81,AT26:BC26,AT30:BC30)</f>
        <v>#N/A</v>
      </c>
    </row>
    <row r="80" spans="2:64">
      <c r="B80" s="123"/>
      <c r="C80" s="123"/>
      <c r="D80" s="123"/>
      <c r="E80" s="123"/>
      <c r="F80" s="123"/>
      <c r="G80" s="37" t="str">
        <f>_xlfn.CONCAT("	                ",M44,",  ",N44,",  ",O44,",  ",P44,",  ",Q44,",")</f>
        <v xml:space="preserve">	                ,  ,  ,  ,  ,</v>
      </c>
      <c r="H80" s="3"/>
      <c r="I80" s="3"/>
      <c r="AS80" s="3" t="s">
        <v>17</v>
      </c>
      <c r="AT80" s="11" t="e">
        <f>_xlfn.XLOOKUP(AV80,AT29:BC29,AT26:BC26)</f>
        <v>#N/A</v>
      </c>
      <c r="AU80" s="11" t="s">
        <v>10</v>
      </c>
      <c r="AV80" s="11" t="e">
        <f>HLOOKUP(ROUNDUP(AS10,1),AT29:BC29,1,TRUE)</f>
        <v>#N/A</v>
      </c>
      <c r="AW80" s="3" t="s">
        <v>17</v>
      </c>
      <c r="AX80" s="11" t="e">
        <f>_xlfn.XLOOKUP(AY79,AT30:BC30,AT26:BC26)</f>
        <v>#N/A</v>
      </c>
      <c r="AY80" s="3" t="e">
        <f>VLOOKUP(AV80,AS34:BC43,AX80+1,FALSE)</f>
        <v>#N/A</v>
      </c>
      <c r="AZ80" s="3" t="e">
        <f>VLOOKUP(AV80,AS34:BC43,AX81+1,FALSE)</f>
        <v>#N/A</v>
      </c>
    </row>
    <row r="81" spans="2:52">
      <c r="B81" s="123"/>
      <c r="C81" s="123"/>
      <c r="D81" s="123"/>
      <c r="E81" s="123"/>
      <c r="F81" s="123"/>
      <c r="G81" s="37" t="str">
        <f>_xlfn.CONCAT("	                ",M45,",  ",N45,",  ",O45,",  ",P45,",  ",Q45,",")</f>
        <v xml:space="preserve">	                ,  ,  ,  ,  ,</v>
      </c>
      <c r="H81" s="3"/>
      <c r="I81" s="3"/>
      <c r="AS81" s="11" t="s">
        <v>18</v>
      </c>
      <c r="AT81" s="11" t="e">
        <f>AT80+1</f>
        <v>#N/A</v>
      </c>
      <c r="AU81" s="11" t="s">
        <v>11</v>
      </c>
      <c r="AV81" s="11" t="e">
        <f>_xlfn.XLOOKUP(AT81,AT26:BC26,AT29:BC29)</f>
        <v>#N/A</v>
      </c>
      <c r="AW81" s="11" t="s">
        <v>18</v>
      </c>
      <c r="AX81" s="11" t="e">
        <f>AX80+1</f>
        <v>#N/A</v>
      </c>
      <c r="AY81" s="3" t="e">
        <f>VLOOKUP(AV81,AS34:BC43,AX80+1,FALSE)</f>
        <v>#N/A</v>
      </c>
      <c r="AZ81" s="3" t="e">
        <f>VLOOKUP(AV81,AS34:BC43,AX81+1,FALSE)</f>
        <v>#N/A</v>
      </c>
    </row>
    <row r="82" spans="2:52">
      <c r="B82" s="123"/>
      <c r="C82" s="123"/>
      <c r="D82" s="123"/>
      <c r="E82" s="123"/>
      <c r="F82" s="123"/>
      <c r="G82" s="37" t="str">
        <f>_xlfn.CONCAT("	                ",M46,",  ",N46,",  ",O46,",  ",P46,",  ",Q46,",")</f>
        <v xml:space="preserve">	                ,  ,  ,  ,  ,</v>
      </c>
      <c r="H82" s="3"/>
      <c r="I82" s="3"/>
    </row>
    <row r="83" spans="2:52">
      <c r="B83" s="123"/>
      <c r="C83" s="123"/>
      <c r="D83" s="123"/>
      <c r="E83" s="123"/>
      <c r="F83" s="123"/>
      <c r="G83" s="37" t="str">
        <f>_xlfn.CONCAT("	                ",M47,",  ",N47,",  ",O47,",  ",P47,",  ",Q47,",  //High BV")</f>
        <v xml:space="preserve">	                ,  ,  ,  ,  ,  //High BV</v>
      </c>
      <c r="H83" s="3"/>
      <c r="I83" s="3"/>
      <c r="AS83" s="3" t="e">
        <f>INT((AY84+((AY85-AY84)*(BL10-AV84)/(AV85-AV84)))+(((AZ84+((AZ85-AZ84)*(BL10-AV84)/(AV85-AV84)))-(AY84+((AY85-AY84)*(BL10-AV84)/(AV85-AV84))))*(BM10-AY83)/(AZ83-AY83)))</f>
        <v>#N/A</v>
      </c>
      <c r="AT83" s="11"/>
      <c r="AU83" s="11"/>
      <c r="AV83" s="11"/>
      <c r="AW83" s="11" t="s">
        <v>294</v>
      </c>
      <c r="AX83" s="11" t="s">
        <v>295</v>
      </c>
      <c r="AY83" s="11" t="e">
        <f>HLOOKUP(BM10,BF24:BO24,1,TRUE)</f>
        <v>#N/A</v>
      </c>
      <c r="AZ83" s="11" t="e">
        <f>_xlfn.XLOOKUP(AX85,BF21:BO21,BF24:BO24)</f>
        <v>#N/A</v>
      </c>
    </row>
    <row r="84" spans="2:52">
      <c r="B84" s="123"/>
      <c r="C84" s="123"/>
      <c r="D84" s="123"/>
      <c r="E84" s="123"/>
      <c r="F84" s="123"/>
      <c r="G84" s="3"/>
      <c r="H84" s="3"/>
      <c r="I84" s="3"/>
      <c r="AS84" s="11" t="s">
        <v>17</v>
      </c>
      <c r="AT84" s="11" t="e">
        <f>_xlfn.XLOOKUP(AV84,BF23:BO23,BF21:BO21)</f>
        <v>#N/A</v>
      </c>
      <c r="AU84" s="11" t="s">
        <v>10</v>
      </c>
      <c r="AV84" s="11" t="e">
        <f>HLOOKUP(ROUNDUP(BL10,1),BF23:BO23,1,TRUE)</f>
        <v>#N/A</v>
      </c>
      <c r="AW84" s="11" t="s">
        <v>17</v>
      </c>
      <c r="AX84" s="11" t="e">
        <f>_xlfn.XLOOKUP(AY83,BF24:BO24,BF21:BO21)</f>
        <v>#N/A</v>
      </c>
      <c r="AY84" s="11" t="e">
        <f>VLOOKUP(AV84,BE28:BO37,AX84+1,FALSE)</f>
        <v>#N/A</v>
      </c>
      <c r="AZ84" s="11" t="e">
        <f>VLOOKUP(AV84,BE28:BO37,AX85+1,FALSE)</f>
        <v>#N/A</v>
      </c>
    </row>
    <row r="85" spans="2:52">
      <c r="B85" s="3"/>
      <c r="C85" s="3"/>
      <c r="D85" s="3"/>
      <c r="E85" s="3"/>
      <c r="F85" s="3"/>
      <c r="G85" s="3"/>
      <c r="H85" s="3"/>
      <c r="I85" s="3"/>
      <c r="AS85" s="11" t="s">
        <v>18</v>
      </c>
      <c r="AT85" s="11" t="e">
        <f>AT84+1</f>
        <v>#N/A</v>
      </c>
      <c r="AU85" s="11" t="s">
        <v>11</v>
      </c>
      <c r="AV85" s="11" t="e">
        <f>_xlfn.XLOOKUP(AT85,BF21:BO21,BF23:BO23)</f>
        <v>#N/A</v>
      </c>
      <c r="AW85" s="11" t="s">
        <v>18</v>
      </c>
      <c r="AX85" s="11" t="e">
        <f>AX84+1</f>
        <v>#N/A</v>
      </c>
      <c r="AY85" s="11" t="e">
        <f>VLOOKUP(AV85,BE28:BO37,AX84+1,FALSE)</f>
        <v>#N/A</v>
      </c>
      <c r="AZ85" s="11" t="e">
        <f>VLOOKUP(AV85,BE28:BO37,AX85+1,FALSE)</f>
        <v>#N/A</v>
      </c>
    </row>
    <row r="86" spans="2:52" ht="16.5" customHeight="1">
      <c r="B86" s="118" t="str">
        <f>_xlfn.CONCAT(M86,CHAR(10),M87,CHAR(10),M88,CHAR(10),M89,CHAR(10),M90,CHAR(10),CHAR(10),M91,CHAR(10),M92,CHAR(10),M93,CHAR(10),M94,CHAR(10),M95,CHAR(10),CHAR(10),M96,CHAR(10),M97,CHAR(10),M98,CHAR(10),M99,CHAR(10),M100)</f>
        <v>//Low BV
                    //LRatio%                                                                       HRatio%
                    ,,,,     ,,,,     ,,,,     ,,,,     ,,,,//Low EVD
                    ,,,,     ,,,,     ,,,,     ,,,,     ,,,,
                    ,,,,     ,,,,     ,,,,     ,,,,     ,,,,
                    ,,,,     ,,,,     ,,,,     ,,,,     ,,,,
                    ,,,,     ,,,,     ,,,,     ,,,,     ,,,,//High EVD
                    //Mid BV
                    //LRatio%                                                                       HRatio%
                    ,,,,     ,,,,     ,,,,     ,,,,     ,,,,//Low EVD
                    ,,,,     ,,,,     ,,,,     ,,,,     ,,,,
                    ,,,,     ,,,,     ,,,,     ,,,,     ,,,,
                    ,,,,     ,,,,     ,,,,     ,,,,     ,,,,
                    ,,,,     ,,,,     ,,,,     ,,,,     ,,,,//High EVD
                    //High BV
                    //LRatio%                                                                       HRatio%
                    ,,,,     ,,,,     ,,,,     ,,,,     ,,,,//Low EVD
                    ,,,,     ,,,,     ,,,,     ,,,,     ,,,,
                    ,,,,     ,,,,     ,,,,     ,,,,     ,,,,
                    ,,,,     ,,,,     ,,,,     ,,,,     ,,,,
                    ,,,,     ,,,,     ,,,,     ,,,,     ,,,,//High EVD</v>
      </c>
      <c r="C86" s="118"/>
      <c r="D86" s="118"/>
      <c r="E86" s="118"/>
      <c r="F86" s="118"/>
      <c r="G86" s="118"/>
      <c r="H86" s="118"/>
      <c r="I86" s="118"/>
      <c r="J86" s="118"/>
      <c r="K86" s="118"/>
      <c r="L86" s="118"/>
      <c r="M86" s="37" t="str">
        <f>_xlfn.CONCAT("//Low BV
                    //LRatio%                                                                       HRatio%
                    ",X23,",",Y23,",",Z23,",",AA23,",     ",AB23,",",AC23,",",AD23,",",AE23,",     ",AF23,",",AG23,",",AH23,",",AI23,",     ",AJ23,",",AK23,",",AL23,",",AM23,",     ",AN23,",",AO23,",",AP23,",",AQ23,",//Low EVD")</f>
        <v>//Low BV
                    //LRatio%                                                                       HRatio%
                    ,,,,     ,,,,     ,,,,     ,,,,     ,,,,//Low EVD</v>
      </c>
    </row>
    <row r="87" spans="2:52">
      <c r="B87" s="118"/>
      <c r="C87" s="118"/>
      <c r="D87" s="118"/>
      <c r="E87" s="118"/>
      <c r="F87" s="118"/>
      <c r="G87" s="118"/>
      <c r="H87" s="118"/>
      <c r="I87" s="118"/>
      <c r="J87" s="118"/>
      <c r="K87" s="118"/>
      <c r="L87" s="118"/>
      <c r="M87" s="37" t="str">
        <f>_xlfn.CONCAT("                    ",X24,",",Y24,",",Z24,",",AA24,",     ",AB24,",",AC24,",",AD24,",",AE24,",     ",AF24,",",AG24,",",AH24,",",AI24,",     ",AJ24,",",AK24,",",AL24,",",AM24,",     ",AN24,",",AO24,",",AP24,",",AQ24,",")</f>
        <v xml:space="preserve">                    ,,,,     ,,,,     ,,,,     ,,,,     ,,,,</v>
      </c>
      <c r="AS87" s="3" t="e">
        <f>INT((AY88+((AY89-AY88)*(AU10-AV88)/(AV89-AV88)))+(((AZ88+((AZ89-AZ88)*(AU10-AV88)/(AV89-AV88)))-(AY88+((AY89-AY88)*(AU10-AV88)/(AV89-AV88))))*(AV10-AY87)/(AZ87-AY87)))</f>
        <v>#N/A</v>
      </c>
      <c r="AW87" s="11" t="s">
        <v>294</v>
      </c>
      <c r="AX87" s="11" t="s">
        <v>295</v>
      </c>
      <c r="AY87" s="3" t="e">
        <f>HLOOKUP(AV10,AT48:BC48,1,TRUE)</f>
        <v>#N/A</v>
      </c>
      <c r="AZ87" s="3" t="e">
        <f>_xlfn.XLOOKUP(AX89,AT44:BC44,AT48:BC48)</f>
        <v>#N/A</v>
      </c>
    </row>
    <row r="88" spans="2:52">
      <c r="B88" s="118"/>
      <c r="C88" s="118"/>
      <c r="D88" s="118"/>
      <c r="E88" s="118"/>
      <c r="F88" s="118"/>
      <c r="G88" s="118"/>
      <c r="H88" s="118"/>
      <c r="I88" s="118"/>
      <c r="J88" s="118"/>
      <c r="K88" s="118"/>
      <c r="L88" s="118"/>
      <c r="M88" s="37" t="str">
        <f>_xlfn.CONCAT("                    ",X25,",",Y25,",",Z25,",",AA25,",     ",AB25,",",AC25,",",AD25,",",AE25,",     ",AF25,",",AG25,",",AH25,",",AI25,",     ",AJ25,",",AK25,",",AL25,",",AM25,",     ",AN25,",",AO25,",",AP25,",",AQ25,",")</f>
        <v xml:space="preserve">                    ,,,,     ,,,,     ,,,,     ,,,,     ,,,,</v>
      </c>
      <c r="AS88" s="3" t="s">
        <v>17</v>
      </c>
      <c r="AT88" s="11" t="e">
        <f>_xlfn.XLOOKUP(AV88,AT47:BC47,AT44:BC44)</f>
        <v>#N/A</v>
      </c>
      <c r="AU88" s="11" t="s">
        <v>10</v>
      </c>
      <c r="AV88" s="11" t="e">
        <f>HLOOKUP(ROUNDUP(AU10,1),AT47:BC47,1,TRUE)</f>
        <v>#N/A</v>
      </c>
      <c r="AW88" s="3" t="s">
        <v>17</v>
      </c>
      <c r="AX88" s="11" t="e">
        <f>_xlfn.XLOOKUP(AY87,AT48:BC48,AT44:BC44)</f>
        <v>#N/A</v>
      </c>
      <c r="AY88" s="3" t="e">
        <f>VLOOKUP(AV88,AS51:BC60,AX88+1,FALSE)</f>
        <v>#N/A</v>
      </c>
      <c r="AZ88" s="3" t="e">
        <f>VLOOKUP(AV88,AS51:BC60,AX89+1,FALSE)</f>
        <v>#N/A</v>
      </c>
    </row>
    <row r="89" spans="2:52">
      <c r="B89" s="118"/>
      <c r="C89" s="118"/>
      <c r="D89" s="118"/>
      <c r="E89" s="118"/>
      <c r="F89" s="118"/>
      <c r="G89" s="118"/>
      <c r="H89" s="118"/>
      <c r="I89" s="118"/>
      <c r="J89" s="118"/>
      <c r="K89" s="118"/>
      <c r="L89" s="118"/>
      <c r="M89" s="37" t="str">
        <f>_xlfn.CONCAT("                    ",X26,",",Y26,",",Z26,",",AA26,",     ",AB26,",",AC26,",",AD26,",",AE26,",     ",AF26,",",AG26,",",AH26,",",AI26,",     ",AJ26,",",AK26,",",AL26,",",AM26,",     ",AN26,",",AO26,",",AP26,",",AQ26,",")</f>
        <v xml:space="preserve">                    ,,,,     ,,,,     ,,,,     ,,,,     ,,,,</v>
      </c>
      <c r="AS89" s="11" t="s">
        <v>18</v>
      </c>
      <c r="AT89" s="11" t="e">
        <f>AT88+1</f>
        <v>#N/A</v>
      </c>
      <c r="AU89" s="11" t="s">
        <v>11</v>
      </c>
      <c r="AV89" s="11" t="e">
        <f>_xlfn.XLOOKUP(AT89,AT44:BC44,AT47:BC47)</f>
        <v>#N/A</v>
      </c>
      <c r="AW89" s="11" t="s">
        <v>18</v>
      </c>
      <c r="AX89" s="11" t="e">
        <f>AX88+1</f>
        <v>#N/A</v>
      </c>
      <c r="AY89" s="3" t="e">
        <f>VLOOKUP(AV89,AS51:BC60,AX88+1,FALSE)</f>
        <v>#N/A</v>
      </c>
      <c r="AZ89" s="3" t="e">
        <f>VLOOKUP(AV89,AS51:BC60,AX89+1,FALSE)</f>
        <v>#N/A</v>
      </c>
    </row>
    <row r="90" spans="2:52">
      <c r="B90" s="118"/>
      <c r="C90" s="118"/>
      <c r="D90" s="118"/>
      <c r="E90" s="118"/>
      <c r="F90" s="118"/>
      <c r="G90" s="118"/>
      <c r="H90" s="118"/>
      <c r="I90" s="118"/>
      <c r="J90" s="118"/>
      <c r="K90" s="118"/>
      <c r="L90" s="118"/>
      <c r="M90" s="37" t="str">
        <f>_xlfn.CONCAT("                    ",X27,",",Y27,",",Z27,",",AA27,",     ",AB27,",",AC27,",",AD27,",",AE27,",     ",AF27,",",AG27,",",AH27,",",AI27,",     ",AJ27,",",AK27,",",AL27,",",AM27,",     ",AN27,",",AO27,",",AP27,",",AQ27,",//High EVD")</f>
        <v xml:space="preserve">                    ,,,,     ,,,,     ,,,,     ,,,,     ,,,,//High EVD</v>
      </c>
    </row>
    <row r="91" spans="2:52">
      <c r="B91" s="118"/>
      <c r="C91" s="118"/>
      <c r="D91" s="118"/>
      <c r="E91" s="118"/>
      <c r="F91" s="118"/>
      <c r="G91" s="118"/>
      <c r="H91" s="118"/>
      <c r="I91" s="118"/>
      <c r="J91" s="118"/>
      <c r="K91" s="118"/>
      <c r="L91" s="118"/>
      <c r="M91" s="37" t="str">
        <f>_xlfn.CONCAT("                    //Mid BV
                    //LRatio%                                                                       HRatio%
                    ",X28,",",Y28,",",Z28,",",AA28,",     ",AB28,",",AC28,",",AD28,",",AE28,",     ",AF28,",",AG28,",",AH28,",",AI28,",     ",AJ28,",",AK28,",",AL28,",",AM28,",     ",AN28,",",AO28,",",AP28,",",AQ28,",//Low EVD")</f>
        <v xml:space="preserve">                    //Mid BV
                    //LRatio%                                                                       HRatio%
                    ,,,,     ,,,,     ,,,,     ,,,,     ,,,,//Low EVD</v>
      </c>
      <c r="AS91" s="3" t="e">
        <f>INT((AY92+((AY93-AY92)*(BN10-AV92)/(AV93-AV92)))+(((AZ92+((AZ93-AZ92)*(BN10-AV92)/(AV93-AV92)))-(AY92+((AY93-AY92)*(BN10-AV92)/(AV93-AV92))))*(BO10-AY91)/(AZ91-AY91)))</f>
        <v>#N/A</v>
      </c>
      <c r="AW91" s="11" t="s">
        <v>294</v>
      </c>
      <c r="AX91" s="11" t="s">
        <v>295</v>
      </c>
      <c r="AY91" s="3" t="e">
        <f>HLOOKUP(BO10,BF42:BO42,1,TRUE)</f>
        <v>#N/A</v>
      </c>
      <c r="AZ91" s="3" t="e">
        <f>_xlfn.XLOOKUP(AX93,BF38:BO38,BF42:BO42)</f>
        <v>#N/A</v>
      </c>
    </row>
    <row r="92" spans="2:52">
      <c r="B92" s="118"/>
      <c r="C92" s="118"/>
      <c r="D92" s="118"/>
      <c r="E92" s="118"/>
      <c r="F92" s="118"/>
      <c r="G92" s="118"/>
      <c r="H92" s="118"/>
      <c r="I92" s="118"/>
      <c r="J92" s="118"/>
      <c r="K92" s="118"/>
      <c r="L92" s="118"/>
      <c r="M92" s="37" t="str">
        <f>_xlfn.CONCAT("                    ",X29,",",Y29,",",Z29,",",AA29,",     ",AB29,",",AC29,",",AD29,",",AE29,",     ",AF29,",",AG29,",",AH29,",",AI29,",     ",AJ29,",",AK29,",",AL29,",",AM29,",     ",AN29,",",AO29,",",AP29,",",AQ29,",")</f>
        <v xml:space="preserve">                    ,,,,     ,,,,     ,,,,     ,,,,     ,,,,</v>
      </c>
      <c r="AS92" s="3" t="s">
        <v>17</v>
      </c>
      <c r="AT92" s="11" t="e">
        <f>_xlfn.XLOOKUP(AV92,BF41:BO41,BF38:BO38)</f>
        <v>#N/A</v>
      </c>
      <c r="AU92" s="11" t="s">
        <v>10</v>
      </c>
      <c r="AV92" s="11" t="e">
        <f>HLOOKUP(ROUNDUP(BN10,1),BF41:BO41,1,TRUE)</f>
        <v>#N/A</v>
      </c>
      <c r="AW92" s="3" t="s">
        <v>17</v>
      </c>
      <c r="AX92" s="11" t="e">
        <f>_xlfn.XLOOKUP(AY91,BF42:BO42,BF38:BO38)</f>
        <v>#N/A</v>
      </c>
      <c r="AY92" s="3" t="e">
        <f>VLOOKUP(AV92,BE45:BO54,AX92+1,FALSE)</f>
        <v>#N/A</v>
      </c>
      <c r="AZ92" s="3" t="e">
        <f>VLOOKUP(AV92,BE45:BO54,AX93+1,FALSE)</f>
        <v>#N/A</v>
      </c>
    </row>
    <row r="93" spans="2:52">
      <c r="B93" s="118"/>
      <c r="C93" s="118"/>
      <c r="D93" s="118"/>
      <c r="E93" s="118"/>
      <c r="F93" s="118"/>
      <c r="G93" s="118"/>
      <c r="H93" s="118"/>
      <c r="I93" s="118"/>
      <c r="J93" s="118"/>
      <c r="K93" s="118"/>
      <c r="L93" s="118"/>
      <c r="M93" s="37" t="str">
        <f>_xlfn.CONCAT("                    ",X30,",",Y30,",",Z30,",",AA30,",     ",AB30,",",AC30,",",AD30,",",AE30,",     ",AF30,",",AG30,",",AH30,",",AI30,",     ",AJ30,",",AK30,",",AL30,",",AM30,",     ",AN30,",",AO30,",",AP30,",",AQ30,",")</f>
        <v xml:space="preserve">                    ,,,,     ,,,,     ,,,,     ,,,,     ,,,,</v>
      </c>
      <c r="AS93" s="11" t="s">
        <v>18</v>
      </c>
      <c r="AT93" s="11" t="e">
        <f>AT92+1</f>
        <v>#N/A</v>
      </c>
      <c r="AU93" s="11" t="s">
        <v>11</v>
      </c>
      <c r="AV93" s="11" t="e">
        <f>_xlfn.XLOOKUP(AT93,BF38:BO38,BF41:BO41)</f>
        <v>#N/A</v>
      </c>
      <c r="AW93" s="11" t="s">
        <v>18</v>
      </c>
      <c r="AX93" s="11" t="e">
        <f>AX92+1</f>
        <v>#N/A</v>
      </c>
      <c r="AY93" s="3" t="e">
        <f>VLOOKUP(AV93,BE45:BO54,AX92+1,FALSE)</f>
        <v>#N/A</v>
      </c>
      <c r="AZ93" s="3" t="e">
        <f>VLOOKUP(AV93,BE45:BO54,AX93+1,FALSE)</f>
        <v>#N/A</v>
      </c>
    </row>
    <row r="94" spans="2:52">
      <c r="B94" s="118"/>
      <c r="C94" s="118"/>
      <c r="D94" s="118"/>
      <c r="E94" s="118"/>
      <c r="F94" s="118"/>
      <c r="G94" s="118"/>
      <c r="H94" s="118"/>
      <c r="I94" s="118"/>
      <c r="J94" s="118"/>
      <c r="K94" s="118"/>
      <c r="L94" s="118"/>
      <c r="M94" s="37" t="str">
        <f>_xlfn.CONCAT("                    ",X31,",",Y31,",",Z31,",",AA31,",     ",AB31,",",AC31,",",AD31,",",AE31,",     ",AF31,",",AG31,",",AH31,",",AI31,",     ",AJ31,",",AK31,",",AL31,",",AM31,",     ",AN31,",",AO31,",",AP31,",",AQ31,",")</f>
        <v xml:space="preserve">                    ,,,,     ,,,,     ,,,,     ,,,,     ,,,,</v>
      </c>
    </row>
    <row r="95" spans="2:52">
      <c r="B95" s="118"/>
      <c r="C95" s="118"/>
      <c r="D95" s="118"/>
      <c r="E95" s="118"/>
      <c r="F95" s="118"/>
      <c r="G95" s="118"/>
      <c r="H95" s="118"/>
      <c r="I95" s="118"/>
      <c r="J95" s="118"/>
      <c r="K95" s="118"/>
      <c r="L95" s="118"/>
      <c r="M95" s="37" t="str">
        <f>_xlfn.CONCAT("                    ",X32,",",Y32,",",Z32,",",AA32,",     ",AB32,",",AC32,",",AD32,",",AE32,",     ",AF32,",",AG32,",",AH32,",",AI32,",     ",AJ32,",",AK32,",",AL32,",",AM32,",     ",AN32,",",AO32,",",AP32,",",AQ32,",//High EVD")</f>
        <v xml:space="preserve">                    ,,,,     ,,,,     ,,,,     ,,,,     ,,,,//High EVD</v>
      </c>
    </row>
    <row r="96" spans="2:52">
      <c r="B96" s="118"/>
      <c r="C96" s="118"/>
      <c r="D96" s="118"/>
      <c r="E96" s="118"/>
      <c r="F96" s="118"/>
      <c r="G96" s="118"/>
      <c r="H96" s="118"/>
      <c r="I96" s="118"/>
      <c r="J96" s="118"/>
      <c r="K96" s="118"/>
      <c r="L96" s="118"/>
      <c r="M96" s="37" t="str">
        <f>_xlfn.CONCAT("                    //High BV
                    //LRatio%                                                                       HRatio%
                    ",X33,",",Y33,",",Z33,",",AA33,",     ",AB33,",",AC33,",",AD33,",",AE33,",     ",AF33,",",AG33,",",AH33,",",AI33,",     ",AJ33,",",AK33,",",AL33,",",AM33,",     ",AN33,",",AO33,",",AP33,",",AQ33,",//Low EVD")</f>
        <v xml:space="preserve">                    //High BV
                    //LRatio%                                                                       HRatio%
                    ,,,,     ,,,,     ,,,,     ,,,,     ,,,,//Low EVD</v>
      </c>
    </row>
    <row r="97" spans="2:13">
      <c r="B97" s="118"/>
      <c r="C97" s="118"/>
      <c r="D97" s="118"/>
      <c r="E97" s="118"/>
      <c r="F97" s="118"/>
      <c r="G97" s="118"/>
      <c r="H97" s="118"/>
      <c r="I97" s="118"/>
      <c r="J97" s="118"/>
      <c r="K97" s="118"/>
      <c r="L97" s="118"/>
      <c r="M97" s="37" t="str">
        <f>_xlfn.CONCAT("                    ",X34,",",Y34,",",Z34,",",AA34,",     ",AB34,",",AC34,",",AD34,",",AE34,",     ",AF34,",",AG34,",",AH34,",",AI34,",     ",AJ34,",",AK34,",",AL34,",",AM34,",     ",AN34,",",AO34,",",AP34,",",AQ34,",")</f>
        <v xml:space="preserve">                    ,,,,     ,,,,     ,,,,     ,,,,     ,,,,</v>
      </c>
    </row>
    <row r="98" spans="2:13">
      <c r="B98" s="118"/>
      <c r="C98" s="118"/>
      <c r="D98" s="118"/>
      <c r="E98" s="118"/>
      <c r="F98" s="118"/>
      <c r="G98" s="118"/>
      <c r="H98" s="118"/>
      <c r="I98" s="118"/>
      <c r="J98" s="118"/>
      <c r="K98" s="118"/>
      <c r="L98" s="118"/>
      <c r="M98" s="37" t="str">
        <f>_xlfn.CONCAT("                    ",X35,",",Y35,",",Z35,",",AA35,",     ",AB35,",",AC35,",",AD35,",",AE35,",     ",AF35,",",AG35,",",AH35,",",AI35,",     ",AJ35,",",AK35,",",AL35,",",AM35,",     ",AN35,",",AO35,",",AP35,",",AQ35,",")</f>
        <v xml:space="preserve">                    ,,,,     ,,,,     ,,,,     ,,,,     ,,,,</v>
      </c>
    </row>
    <row r="99" spans="2:13">
      <c r="B99" s="118"/>
      <c r="C99" s="118"/>
      <c r="D99" s="118"/>
      <c r="E99" s="118"/>
      <c r="F99" s="118"/>
      <c r="G99" s="118"/>
      <c r="H99" s="118"/>
      <c r="I99" s="118"/>
      <c r="J99" s="118"/>
      <c r="K99" s="118"/>
      <c r="L99" s="118"/>
      <c r="M99" s="37" t="str">
        <f>_xlfn.CONCAT("                    ",X36,",",Y36,",",Z36,",",AA36,",     ",AB36,",",AC36,",",AD36,",",AE36,",     ",AF36,",",AG36,",",AH36,",",AI36,",     ",AJ36,",",AK36,",",AL36,",",AM36,",     ",AN36,",",AO36,",",AP36,",",AQ36,",")</f>
        <v xml:space="preserve">                    ,,,,     ,,,,     ,,,,     ,,,,     ,,,,</v>
      </c>
    </row>
    <row r="100" spans="2:13">
      <c r="B100" s="118"/>
      <c r="C100" s="118"/>
      <c r="D100" s="118"/>
      <c r="E100" s="118"/>
      <c r="F100" s="118"/>
      <c r="G100" s="118"/>
      <c r="H100" s="118"/>
      <c r="I100" s="118"/>
      <c r="J100" s="118"/>
      <c r="K100" s="118"/>
      <c r="L100" s="118"/>
      <c r="M100" s="37" t="str">
        <f>_xlfn.CONCAT("                    ",X37,",",Y37,",",Z37,",",AA37,",     ",AB37,",",AC37,",",AD37,",",AE37,",     ",AF37,",",AG37,",",AH37,",",AI37,",     ",AJ37,",",AK37,",",AL37,",",AM37,",     ",AN37,",",AO37,",",AP37,",",AQ37,",//High EVD")</f>
        <v xml:space="preserve">                    ,,,,     ,,,,     ,,,,     ,,,,     ,,,,//High EVD</v>
      </c>
    </row>
    <row r="101" spans="2:13">
      <c r="B101" s="118"/>
      <c r="C101" s="118"/>
      <c r="D101" s="118"/>
      <c r="E101" s="118"/>
      <c r="F101" s="118"/>
      <c r="G101" s="118"/>
      <c r="H101" s="118"/>
      <c r="I101" s="118"/>
      <c r="J101" s="118"/>
      <c r="K101" s="118"/>
      <c r="L101" s="118"/>
    </row>
    <row r="102" spans="2:13">
      <c r="B102" s="118"/>
      <c r="C102" s="118"/>
      <c r="D102" s="118"/>
      <c r="E102" s="118"/>
      <c r="F102" s="118"/>
      <c r="G102" s="118"/>
      <c r="H102" s="118"/>
      <c r="I102" s="118"/>
      <c r="J102" s="118"/>
      <c r="K102" s="118"/>
      <c r="L102" s="118"/>
    </row>
    <row r="103" spans="2:13">
      <c r="B103" s="118"/>
      <c r="C103" s="118"/>
      <c r="D103" s="118"/>
      <c r="E103" s="118"/>
      <c r="F103" s="118"/>
      <c r="G103" s="118"/>
      <c r="H103" s="118"/>
      <c r="I103" s="118"/>
      <c r="J103" s="118"/>
      <c r="K103" s="118"/>
      <c r="L103" s="118"/>
    </row>
    <row r="104" spans="2:13">
      <c r="B104" s="118"/>
      <c r="C104" s="118"/>
      <c r="D104" s="118"/>
      <c r="E104" s="118"/>
      <c r="F104" s="118"/>
      <c r="G104" s="118"/>
      <c r="H104" s="118"/>
      <c r="I104" s="118"/>
      <c r="J104" s="118"/>
      <c r="K104" s="118"/>
      <c r="L104" s="118"/>
    </row>
    <row r="105" spans="2:13">
      <c r="B105" s="118"/>
      <c r="C105" s="118"/>
      <c r="D105" s="118"/>
      <c r="E105" s="118"/>
      <c r="F105" s="118"/>
      <c r="G105" s="118"/>
      <c r="H105" s="118"/>
      <c r="I105" s="118"/>
      <c r="J105" s="118"/>
      <c r="K105" s="118"/>
      <c r="L105" s="118"/>
    </row>
    <row r="106" spans="2:13">
      <c r="B106" s="118"/>
      <c r="C106" s="118"/>
      <c r="D106" s="118"/>
      <c r="E106" s="118"/>
      <c r="F106" s="118"/>
      <c r="G106" s="118"/>
      <c r="H106" s="118"/>
      <c r="I106" s="118"/>
      <c r="J106" s="118"/>
      <c r="K106" s="118"/>
      <c r="L106" s="118"/>
    </row>
    <row r="107" spans="2:13">
      <c r="B107" s="118"/>
      <c r="C107" s="118"/>
      <c r="D107" s="118"/>
      <c r="E107" s="118"/>
      <c r="F107" s="118"/>
      <c r="G107" s="118"/>
      <c r="H107" s="118"/>
      <c r="I107" s="118"/>
      <c r="J107" s="118"/>
      <c r="K107" s="118"/>
      <c r="L107" s="118"/>
    </row>
    <row r="108" spans="2:13">
      <c r="B108" s="118"/>
      <c r="C108" s="118"/>
      <c r="D108" s="118"/>
      <c r="E108" s="118"/>
      <c r="F108" s="118"/>
      <c r="G108" s="118"/>
      <c r="H108" s="118"/>
      <c r="I108" s="118"/>
      <c r="J108" s="118"/>
      <c r="K108" s="118"/>
      <c r="L108" s="118"/>
    </row>
    <row r="109" spans="2:13"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</row>
    <row r="110" spans="2:13"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</row>
  </sheetData>
  <mergeCells count="187">
    <mergeCell ref="BY5:BY6"/>
    <mergeCell ref="BY7:BY8"/>
    <mergeCell ref="BW5:BX6"/>
    <mergeCell ref="AX10:BJ10"/>
    <mergeCell ref="AS2:AZ2"/>
    <mergeCell ref="BA2:BB2"/>
    <mergeCell ref="BA5:BB5"/>
    <mergeCell ref="BY3:BY4"/>
    <mergeCell ref="BQ2:BY2"/>
    <mergeCell ref="BW3:BX4"/>
    <mergeCell ref="BA3:BB3"/>
    <mergeCell ref="BA4:BB4"/>
    <mergeCell ref="BA6:BB6"/>
    <mergeCell ref="BW7:BX8"/>
    <mergeCell ref="BQ25:BS25"/>
    <mergeCell ref="BU25:BX25"/>
    <mergeCell ref="BQ22:BS22"/>
    <mergeCell ref="BQ11:BS11"/>
    <mergeCell ref="CC11:CE11"/>
    <mergeCell ref="CC13:CE13"/>
    <mergeCell ref="CC14:CE14"/>
    <mergeCell ref="BQ12:BS12"/>
    <mergeCell ref="BQ13:BS13"/>
    <mergeCell ref="BQ14:BS14"/>
    <mergeCell ref="BU13:BW13"/>
    <mergeCell ref="BU14:BW14"/>
    <mergeCell ref="BF16:BG16"/>
    <mergeCell ref="BW9:BX9"/>
    <mergeCell ref="BU22:BW22"/>
    <mergeCell ref="BW23:BX23"/>
    <mergeCell ref="BW24:BX24"/>
    <mergeCell ref="BQ16:BY17"/>
    <mergeCell ref="BY11:CA11"/>
    <mergeCell ref="BU11:BW11"/>
    <mergeCell ref="BY13:CA13"/>
    <mergeCell ref="BY14:CA14"/>
    <mergeCell ref="BL14:BN14"/>
    <mergeCell ref="AS62:BC63"/>
    <mergeCell ref="AS7:AU7"/>
    <mergeCell ref="AW7:AY7"/>
    <mergeCell ref="AS8:AU8"/>
    <mergeCell ref="AW8:AY8"/>
    <mergeCell ref="AS9:AU9"/>
    <mergeCell ref="AS22:AS25"/>
    <mergeCell ref="AS27:BC28"/>
    <mergeCell ref="AS45:BC46"/>
    <mergeCell ref="AW9:AY9"/>
    <mergeCell ref="AW11:AX11"/>
    <mergeCell ref="AW12:AX12"/>
    <mergeCell ref="AW13:AX13"/>
    <mergeCell ref="AW14:AX14"/>
    <mergeCell ref="AS14:AU14"/>
    <mergeCell ref="AS11:AU11"/>
    <mergeCell ref="AS12:AU12"/>
    <mergeCell ref="AS13:AU13"/>
    <mergeCell ref="AS16:AS19"/>
    <mergeCell ref="BA7:BB7"/>
    <mergeCell ref="BA8:BB8"/>
    <mergeCell ref="BA9:BB9"/>
    <mergeCell ref="BE39:BO40"/>
    <mergeCell ref="BE22:BO22"/>
    <mergeCell ref="BE16:BE20"/>
    <mergeCell ref="AN22:AQ22"/>
    <mergeCell ref="AD17:AF17"/>
    <mergeCell ref="AD18:AF18"/>
    <mergeCell ref="AD19:AF19"/>
    <mergeCell ref="AG17:AI17"/>
    <mergeCell ref="AG18:AI18"/>
    <mergeCell ref="AG19:AI19"/>
    <mergeCell ref="V16:AI16"/>
    <mergeCell ref="AF22:AI22"/>
    <mergeCell ref="AA17:AC17"/>
    <mergeCell ref="AA18:AC18"/>
    <mergeCell ref="X17:Z17"/>
    <mergeCell ref="X18:Z18"/>
    <mergeCell ref="X19:Z19"/>
    <mergeCell ref="V21:V22"/>
    <mergeCell ref="W21:W22"/>
    <mergeCell ref="X21:AQ21"/>
    <mergeCell ref="X22:AA22"/>
    <mergeCell ref="AB22:AE22"/>
    <mergeCell ref="AJ22:AM22"/>
    <mergeCell ref="AA19:AC19"/>
    <mergeCell ref="E16:J16"/>
    <mergeCell ref="L16:T16"/>
    <mergeCell ref="BE11:BG11"/>
    <mergeCell ref="BI11:BJ11"/>
    <mergeCell ref="BE12:BG12"/>
    <mergeCell ref="BI12:BJ12"/>
    <mergeCell ref="BE13:BG13"/>
    <mergeCell ref="BI13:BJ13"/>
    <mergeCell ref="BE14:BG14"/>
    <mergeCell ref="BI14:BJ14"/>
    <mergeCell ref="X15:Z15"/>
    <mergeCell ref="AA15:AC15"/>
    <mergeCell ref="AA14:AC14"/>
    <mergeCell ref="AA11:AC11"/>
    <mergeCell ref="AD11:AL11"/>
    <mergeCell ref="AD12:AL12"/>
    <mergeCell ref="AD13:AL13"/>
    <mergeCell ref="AD14:AL14"/>
    <mergeCell ref="AD15:AF15"/>
    <mergeCell ref="AG15:AI15"/>
    <mergeCell ref="AA12:AC12"/>
    <mergeCell ref="AA13:AC13"/>
    <mergeCell ref="F13:H13"/>
    <mergeCell ref="F14:H14"/>
    <mergeCell ref="B86:L108"/>
    <mergeCell ref="L39:N39"/>
    <mergeCell ref="P39:R39"/>
    <mergeCell ref="G34:I34"/>
    <mergeCell ref="L34:N34"/>
    <mergeCell ref="B77:F84"/>
    <mergeCell ref="B59:I60"/>
    <mergeCell ref="B62:F75"/>
    <mergeCell ref="L36:T36"/>
    <mergeCell ref="P32:R32"/>
    <mergeCell ref="L33:N33"/>
    <mergeCell ref="P33:R33"/>
    <mergeCell ref="V33:V37"/>
    <mergeCell ref="V23:V27"/>
    <mergeCell ref="V28:V32"/>
    <mergeCell ref="L31:N31"/>
    <mergeCell ref="P31:R31"/>
    <mergeCell ref="L32:N32"/>
    <mergeCell ref="AM13:AO13"/>
    <mergeCell ref="AM14:AO14"/>
    <mergeCell ref="B10:D10"/>
    <mergeCell ref="B11:D11"/>
    <mergeCell ref="P8:R8"/>
    <mergeCell ref="L8:N8"/>
    <mergeCell ref="F11:H11"/>
    <mergeCell ref="P13:R13"/>
    <mergeCell ref="L12:N12"/>
    <mergeCell ref="L13:N13"/>
    <mergeCell ref="P12:R12"/>
    <mergeCell ref="B12:D12"/>
    <mergeCell ref="B14:D14"/>
    <mergeCell ref="F12:H12"/>
    <mergeCell ref="V11:Z11"/>
    <mergeCell ref="V12:Z12"/>
    <mergeCell ref="V13:Z13"/>
    <mergeCell ref="V14:Z14"/>
    <mergeCell ref="AM12:AO12"/>
    <mergeCell ref="B13:D13"/>
    <mergeCell ref="AM11:AO11"/>
    <mergeCell ref="L14:N14"/>
    <mergeCell ref="B2:E5"/>
    <mergeCell ref="B6:E6"/>
    <mergeCell ref="L6:N6"/>
    <mergeCell ref="L11:N11"/>
    <mergeCell ref="P11:R11"/>
    <mergeCell ref="P7:R7"/>
    <mergeCell ref="L7:N7"/>
    <mergeCell ref="B7:D9"/>
    <mergeCell ref="P6:R6"/>
    <mergeCell ref="E7:I8"/>
    <mergeCell ref="L3:M3"/>
    <mergeCell ref="L4:M4"/>
    <mergeCell ref="L5:M5"/>
    <mergeCell ref="O4:O5"/>
    <mergeCell ref="L2:Q2"/>
    <mergeCell ref="P3:Q3"/>
    <mergeCell ref="V4:W4"/>
    <mergeCell ref="V7:W7"/>
    <mergeCell ref="L9:N9"/>
    <mergeCell ref="P9:R9"/>
    <mergeCell ref="BQ3:BU3"/>
    <mergeCell ref="BQ4:BU4"/>
    <mergeCell ref="BT6:BU6"/>
    <mergeCell ref="BQ6:BR6"/>
    <mergeCell ref="BQ7:BR7"/>
    <mergeCell ref="BT7:BU7"/>
    <mergeCell ref="BQ8:BU8"/>
    <mergeCell ref="BT9:BU9"/>
    <mergeCell ref="BQ9:BR9"/>
    <mergeCell ref="BQ5:BR5"/>
    <mergeCell ref="BT5:BU5"/>
    <mergeCell ref="P4:Q4"/>
    <mergeCell ref="P5:Q5"/>
    <mergeCell ref="AW3:AY3"/>
    <mergeCell ref="AW4:AY4"/>
    <mergeCell ref="AW5:AY5"/>
    <mergeCell ref="AS4:AU4"/>
    <mergeCell ref="AS5:AU5"/>
    <mergeCell ref="AS6:AU6"/>
    <mergeCell ref="AW6:AY6"/>
  </mergeCells>
  <phoneticPr fontId="1" type="noConversion"/>
  <conditionalFormatting sqref="C17:J17">
    <cfRule type="cellIs" dxfId="0" priority="1" stopIfTrue="1" operator="equal">
      <formula>a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CE415-2B71-429B-9C2C-36D7BEEC4633}">
  <sheetPr codeName="工作表2">
    <tabColor theme="8" tint="-0.249977111117893"/>
  </sheetPr>
  <dimension ref="B2:U202"/>
  <sheetViews>
    <sheetView workbookViewId="0">
      <pane ySplit="2" topLeftCell="A114" activePane="bottomLeft" state="frozen"/>
      <selection pane="bottomLeft" activeCell="E131" sqref="E131"/>
    </sheetView>
  </sheetViews>
  <sheetFormatPr defaultRowHeight="16.5"/>
  <cols>
    <col min="1" max="1" width="3.375" customWidth="1"/>
    <col min="2" max="4" width="12.5" style="12" customWidth="1"/>
    <col min="5" max="5" width="12.5" style="25" customWidth="1"/>
    <col min="6" max="6" width="3.375" style="25" customWidth="1"/>
    <col min="7" max="12" width="9" style="25"/>
    <col min="13" max="13" width="3.375" customWidth="1"/>
    <col min="14" max="14" width="9" style="22" customWidth="1"/>
    <col min="15" max="16" width="9" style="12" customWidth="1"/>
    <col min="17" max="21" width="9" style="25"/>
  </cols>
  <sheetData>
    <row r="2" spans="2:21">
      <c r="B2" s="23" t="s">
        <v>50</v>
      </c>
      <c r="C2" s="23" t="s">
        <v>51</v>
      </c>
      <c r="D2" s="23" t="s">
        <v>52</v>
      </c>
      <c r="E2" s="24" t="s">
        <v>53</v>
      </c>
      <c r="G2" s="24" t="s">
        <v>54</v>
      </c>
      <c r="H2" s="24" t="s">
        <v>55</v>
      </c>
      <c r="I2" s="24" t="s">
        <v>56</v>
      </c>
      <c r="J2" s="24" t="s">
        <v>57</v>
      </c>
      <c r="K2" s="24" t="s">
        <v>20</v>
      </c>
      <c r="L2" s="24" t="s">
        <v>58</v>
      </c>
      <c r="N2" s="26"/>
      <c r="O2" s="23"/>
      <c r="Q2" s="24"/>
      <c r="R2" s="24"/>
      <c r="S2" s="24"/>
      <c r="T2" s="24"/>
      <c r="U2" s="24"/>
    </row>
    <row r="3" spans="2:21">
      <c r="B3" s="12">
        <f>VALUE(MID(N3,6,SEARCH(",",N3,1)-6))</f>
        <v>32</v>
      </c>
      <c r="C3" s="12">
        <f>VALUE(MID($N3,FIND("*",SUBSTITUTE($N3,",","*",1),1)+1,FIND("*",SUBSTITUTE($N3,",","*",2),1)-FIND("*",SUBSTITUTE($N3,",","*",1),1)-1))</f>
        <v>1280</v>
      </c>
      <c r="D3" s="12">
        <f>VALUE(MID($N3,FIND("*",SUBSTITUTE($N3,",","*",2),1)+1,FIND("*",SUBSTITUTE($N3,",","*",3),1)-FIND("*",SUBSTITUTE($N3,",","*",2),1)-1))</f>
        <v>1049</v>
      </c>
      <c r="E3" s="25">
        <f>((C3/1024)*(D3/1024))</f>
        <v>1.280517578125</v>
      </c>
      <c r="G3" s="25">
        <f>-LOG(B3*0.000001,2)</f>
        <v>14.931568569324176</v>
      </c>
      <c r="H3" s="25">
        <f>B3*0.000001*3198/0.033333</f>
        <v>3.0701107011070108</v>
      </c>
      <c r="I3" s="25">
        <v>1.7</v>
      </c>
      <c r="J3" s="25">
        <f>LOG((C3/1024)*(D3/1024)*100/3.125,2)</f>
        <v>5.3567270574646297</v>
      </c>
      <c r="K3" s="25">
        <f>I3+G3-J3</f>
        <v>11.274841511859547</v>
      </c>
      <c r="L3" s="25">
        <f>K4-K3</f>
        <v>-3.5590365314133621E-2</v>
      </c>
      <c r="N3" s="22" t="s">
        <v>234</v>
      </c>
    </row>
    <row r="4" spans="2:21">
      <c r="B4" s="12">
        <f t="shared" ref="B4:B67" si="0">VALUE(MID(N4,6,SEARCH(",",N4,1)-6))</f>
        <v>42</v>
      </c>
      <c r="C4" s="12">
        <f t="shared" ref="C4:C67" si="1">VALUE(MID($N4,FIND("*",SUBSTITUTE($N4,",","*",1),1)+1,FIND("*",SUBSTITUTE($N4,",","*",2),1)-FIND("*",SUBSTITUTE($N4,",","*",1),1)-1))</f>
        <v>1024</v>
      </c>
      <c r="D4" s="12">
        <f t="shared" ref="D4:D67" si="2">VALUE(MID($N4,FIND("*",SUBSTITUTE($N4,",","*",2),1)+1,FIND("*",SUBSTITUTE($N4,",","*",3),1)-FIND("*",SUBSTITUTE($N4,",","*",2),1)-1))</f>
        <v>1024</v>
      </c>
      <c r="E4" s="25">
        <f t="shared" ref="E4:E67" si="3">((C4/1024)*(D4/1024))</f>
        <v>1</v>
      </c>
      <c r="G4" s="25">
        <f t="shared" ref="G4:G67" si="4">-LOG(B4*0.000001,2)</f>
        <v>14.539251146545414</v>
      </c>
      <c r="H4" s="25">
        <f t="shared" ref="H4:H67" si="5">B4*0.000001*3198/0.033333</f>
        <v>4.0295202952029516</v>
      </c>
      <c r="I4" s="25">
        <v>1.7</v>
      </c>
      <c r="J4" s="25">
        <f t="shared" ref="J4:J67" si="6">LOG((C4/1024)*(D4/1024)*100/3.125,2)</f>
        <v>5</v>
      </c>
      <c r="K4" s="25">
        <f t="shared" ref="K4:K67" si="7">I4+G4-J4</f>
        <v>11.239251146545413</v>
      </c>
      <c r="L4" s="25">
        <f t="shared" ref="L4:L67" si="8">K5-K4</f>
        <v>-9.8032082960527234E-2</v>
      </c>
      <c r="N4" s="22" t="s">
        <v>59</v>
      </c>
    </row>
    <row r="5" spans="2:21">
      <c r="B5" s="12">
        <f t="shared" si="0"/>
        <v>42</v>
      </c>
      <c r="C5" s="12">
        <f t="shared" si="1"/>
        <v>1024</v>
      </c>
      <c r="D5" s="12">
        <f t="shared" si="2"/>
        <v>1096</v>
      </c>
      <c r="E5" s="25">
        <f t="shared" si="3"/>
        <v>1.0703125</v>
      </c>
      <c r="G5" s="25">
        <f t="shared" si="4"/>
        <v>14.539251146545414</v>
      </c>
      <c r="H5" s="25">
        <f t="shared" si="5"/>
        <v>4.0295202952029516</v>
      </c>
      <c r="I5" s="25">
        <v>1.7</v>
      </c>
      <c r="J5" s="25">
        <f t="shared" si="6"/>
        <v>5.0980320829605272</v>
      </c>
      <c r="K5" s="25">
        <f t="shared" si="7"/>
        <v>11.141219063584886</v>
      </c>
      <c r="L5" s="25">
        <f t="shared" si="8"/>
        <v>-9.1483646839664701E-2</v>
      </c>
      <c r="N5" s="22" t="s">
        <v>60</v>
      </c>
    </row>
    <row r="6" spans="2:21">
      <c r="B6" s="12">
        <f t="shared" si="0"/>
        <v>42</v>
      </c>
      <c r="C6" s="12">
        <f t="shared" si="1"/>
        <v>1152</v>
      </c>
      <c r="D6" s="12">
        <f t="shared" si="2"/>
        <v>1038</v>
      </c>
      <c r="E6" s="25">
        <f t="shared" si="3"/>
        <v>1.140380859375</v>
      </c>
      <c r="G6" s="25">
        <f t="shared" si="4"/>
        <v>14.539251146545414</v>
      </c>
      <c r="H6" s="25">
        <f t="shared" si="5"/>
        <v>4.0295202952029516</v>
      </c>
      <c r="I6" s="25">
        <v>1.7</v>
      </c>
      <c r="J6" s="25">
        <f t="shared" si="6"/>
        <v>5.1895157298001928</v>
      </c>
      <c r="K6" s="25">
        <f t="shared" si="7"/>
        <v>11.049735416745222</v>
      </c>
      <c r="L6" s="25">
        <f t="shared" si="8"/>
        <v>-0.11355148404272164</v>
      </c>
      <c r="N6" s="22" t="s">
        <v>61</v>
      </c>
    </row>
    <row r="7" spans="2:21">
      <c r="B7" s="12">
        <f t="shared" si="0"/>
        <v>42</v>
      </c>
      <c r="C7" s="12">
        <f t="shared" si="1"/>
        <v>1152</v>
      </c>
      <c r="D7" s="12">
        <f t="shared" si="2"/>
        <v>1123</v>
      </c>
      <c r="E7" s="25">
        <f t="shared" si="3"/>
        <v>1.2337646484375</v>
      </c>
      <c r="G7" s="25">
        <f t="shared" si="4"/>
        <v>14.539251146545414</v>
      </c>
      <c r="H7" s="25">
        <f t="shared" si="5"/>
        <v>4.0295202952029516</v>
      </c>
      <c r="I7" s="25">
        <v>1.7</v>
      </c>
      <c r="J7" s="25">
        <f t="shared" si="6"/>
        <v>5.3030672138429136</v>
      </c>
      <c r="K7" s="25">
        <f t="shared" si="7"/>
        <v>10.9361839327025</v>
      </c>
      <c r="L7" s="25">
        <f t="shared" si="8"/>
        <v>-8.7818253442714322E-2</v>
      </c>
      <c r="N7" s="22" t="s">
        <v>62</v>
      </c>
    </row>
    <row r="8" spans="2:21">
      <c r="B8" s="12">
        <f t="shared" si="0"/>
        <v>53</v>
      </c>
      <c r="C8" s="12">
        <f t="shared" si="1"/>
        <v>1024</v>
      </c>
      <c r="D8" s="12">
        <f t="shared" si="2"/>
        <v>1064</v>
      </c>
      <c r="E8" s="25">
        <f t="shared" si="3"/>
        <v>1.0390625</v>
      </c>
      <c r="G8" s="25">
        <f t="shared" si="4"/>
        <v>14.203648114760977</v>
      </c>
      <c r="H8" s="25">
        <f t="shared" si="5"/>
        <v>5.084870848708487</v>
      </c>
      <c r="I8" s="25">
        <v>1.7</v>
      </c>
      <c r="J8" s="25">
        <f t="shared" si="6"/>
        <v>5.0552824355011898</v>
      </c>
      <c r="K8" s="25">
        <f t="shared" si="7"/>
        <v>10.848365679259786</v>
      </c>
      <c r="L8" s="25">
        <f t="shared" si="8"/>
        <v>-9.4464684003490618E-2</v>
      </c>
      <c r="N8" s="22" t="s">
        <v>63</v>
      </c>
    </row>
    <row r="9" spans="2:21">
      <c r="B9" s="12">
        <f t="shared" si="0"/>
        <v>53</v>
      </c>
      <c r="C9" s="12">
        <f t="shared" si="1"/>
        <v>1024</v>
      </c>
      <c r="D9" s="12">
        <f t="shared" si="2"/>
        <v>1136</v>
      </c>
      <c r="E9" s="25">
        <f t="shared" si="3"/>
        <v>1.109375</v>
      </c>
      <c r="G9" s="25">
        <f t="shared" si="4"/>
        <v>14.203648114760977</v>
      </c>
      <c r="H9" s="25">
        <f t="shared" si="5"/>
        <v>5.084870848708487</v>
      </c>
      <c r="I9" s="25">
        <v>1.7</v>
      </c>
      <c r="J9" s="25">
        <f t="shared" si="6"/>
        <v>5.1497471195046822</v>
      </c>
      <c r="K9" s="25">
        <f t="shared" si="7"/>
        <v>10.753900995256295</v>
      </c>
      <c r="L9" s="25">
        <f t="shared" si="8"/>
        <v>-0.14400646879049006</v>
      </c>
      <c r="N9" s="22" t="s">
        <v>64</v>
      </c>
    </row>
    <row r="10" spans="2:21">
      <c r="B10" s="12">
        <f t="shared" si="0"/>
        <v>63</v>
      </c>
      <c r="C10" s="12">
        <f t="shared" si="1"/>
        <v>1024</v>
      </c>
      <c r="D10" s="12">
        <f t="shared" si="2"/>
        <v>1056</v>
      </c>
      <c r="E10" s="25">
        <f t="shared" si="3"/>
        <v>1.03125</v>
      </c>
      <c r="G10" s="25">
        <f t="shared" si="4"/>
        <v>13.954288645824258</v>
      </c>
      <c r="H10" s="25">
        <f t="shared" si="5"/>
        <v>6.0442804428044274</v>
      </c>
      <c r="I10" s="25">
        <v>1.7</v>
      </c>
      <c r="J10" s="25">
        <f t="shared" si="6"/>
        <v>5.0443941193584534</v>
      </c>
      <c r="K10" s="25">
        <f t="shared" si="7"/>
        <v>10.609894526465805</v>
      </c>
      <c r="L10" s="25">
        <f t="shared" si="8"/>
        <v>-8.4888897586512968E-2</v>
      </c>
      <c r="N10" s="22" t="s">
        <v>65</v>
      </c>
    </row>
    <row r="11" spans="2:21">
      <c r="B11" s="12">
        <f t="shared" si="0"/>
        <v>63</v>
      </c>
      <c r="C11" s="12">
        <f t="shared" si="1"/>
        <v>1024</v>
      </c>
      <c r="D11" s="12">
        <f t="shared" si="2"/>
        <v>1120</v>
      </c>
      <c r="E11" s="25">
        <f t="shared" si="3"/>
        <v>1.09375</v>
      </c>
      <c r="G11" s="25">
        <f t="shared" si="4"/>
        <v>13.954288645824258</v>
      </c>
      <c r="H11" s="25">
        <f t="shared" si="5"/>
        <v>6.0442804428044274</v>
      </c>
      <c r="I11" s="25">
        <v>1.7</v>
      </c>
      <c r="J11" s="25">
        <f t="shared" si="6"/>
        <v>5.1292830169449664</v>
      </c>
      <c r="K11" s="25">
        <f t="shared" si="7"/>
        <v>10.525005628879292</v>
      </c>
      <c r="L11" s="25">
        <f t="shared" si="8"/>
        <v>-8.3261618435136242E-2</v>
      </c>
      <c r="N11" s="22" t="s">
        <v>66</v>
      </c>
    </row>
    <row r="12" spans="2:21">
      <c r="B12" s="12">
        <f t="shared" si="0"/>
        <v>73</v>
      </c>
      <c r="C12" s="12">
        <f t="shared" si="1"/>
        <v>1024</v>
      </c>
      <c r="D12" s="12">
        <f t="shared" si="2"/>
        <v>1024</v>
      </c>
      <c r="E12" s="25">
        <f t="shared" si="3"/>
        <v>1</v>
      </c>
      <c r="G12" s="25">
        <f t="shared" si="4"/>
        <v>13.741744010444156</v>
      </c>
      <c r="H12" s="25">
        <f t="shared" si="5"/>
        <v>7.0036900369003687</v>
      </c>
      <c r="I12" s="25">
        <v>1.7</v>
      </c>
      <c r="J12" s="25">
        <f t="shared" si="6"/>
        <v>5</v>
      </c>
      <c r="K12" s="25">
        <f t="shared" si="7"/>
        <v>10.441744010444156</v>
      </c>
      <c r="L12" s="25">
        <f t="shared" si="8"/>
        <v>-0.11894107272350674</v>
      </c>
      <c r="N12" s="22" t="s">
        <v>67</v>
      </c>
    </row>
    <row r="13" spans="2:21">
      <c r="B13" s="12">
        <f t="shared" si="0"/>
        <v>73</v>
      </c>
      <c r="C13" s="12">
        <f t="shared" si="1"/>
        <v>1024</v>
      </c>
      <c r="D13" s="12">
        <f t="shared" si="2"/>
        <v>1112</v>
      </c>
      <c r="E13" s="25">
        <f t="shared" si="3"/>
        <v>1.0859375</v>
      </c>
      <c r="G13" s="25">
        <f t="shared" si="4"/>
        <v>13.741744010444156</v>
      </c>
      <c r="H13" s="25">
        <f t="shared" si="5"/>
        <v>7.0036900369003687</v>
      </c>
      <c r="I13" s="25">
        <v>1.7</v>
      </c>
      <c r="J13" s="25">
        <f t="shared" si="6"/>
        <v>5.1189410727235076</v>
      </c>
      <c r="K13" s="25">
        <f t="shared" si="7"/>
        <v>10.322802937720649</v>
      </c>
      <c r="L13" s="25">
        <f t="shared" si="8"/>
        <v>-7.0574657076686975E-2</v>
      </c>
      <c r="N13" s="22" t="s">
        <v>68</v>
      </c>
    </row>
    <row r="14" spans="2:21">
      <c r="B14" s="12">
        <f t="shared" si="0"/>
        <v>73</v>
      </c>
      <c r="C14" s="12">
        <f t="shared" si="1"/>
        <v>1152</v>
      </c>
      <c r="D14" s="12">
        <f t="shared" si="2"/>
        <v>1038</v>
      </c>
      <c r="E14" s="25">
        <f t="shared" si="3"/>
        <v>1.140380859375</v>
      </c>
      <c r="G14" s="25">
        <f t="shared" si="4"/>
        <v>13.741744010444156</v>
      </c>
      <c r="H14" s="25">
        <f t="shared" si="5"/>
        <v>7.0036900369003687</v>
      </c>
      <c r="I14" s="25">
        <v>1.7</v>
      </c>
      <c r="J14" s="25">
        <f t="shared" si="6"/>
        <v>5.1895157298001928</v>
      </c>
      <c r="K14" s="25">
        <f t="shared" si="7"/>
        <v>10.252228280643962</v>
      </c>
      <c r="L14" s="25">
        <f t="shared" si="8"/>
        <v>-0.11100921705907574</v>
      </c>
      <c r="N14" s="22" t="s">
        <v>69</v>
      </c>
    </row>
    <row r="15" spans="2:21">
      <c r="B15" s="12">
        <f t="shared" si="0"/>
        <v>84</v>
      </c>
      <c r="C15" s="12">
        <f t="shared" si="1"/>
        <v>1024</v>
      </c>
      <c r="D15" s="12">
        <f t="shared" si="2"/>
        <v>1096</v>
      </c>
      <c r="E15" s="25">
        <f t="shared" si="3"/>
        <v>1.0703125</v>
      </c>
      <c r="G15" s="25">
        <f t="shared" si="4"/>
        <v>13.539251146545414</v>
      </c>
      <c r="H15" s="25">
        <f t="shared" si="5"/>
        <v>8.0590405904059033</v>
      </c>
      <c r="I15" s="25">
        <v>1.7</v>
      </c>
      <c r="J15" s="25">
        <f t="shared" si="6"/>
        <v>5.0980320829605272</v>
      </c>
      <c r="K15" s="25">
        <f t="shared" si="7"/>
        <v>10.141219063584886</v>
      </c>
      <c r="L15" s="25">
        <f t="shared" si="8"/>
        <v>-9.7662347475798938E-2</v>
      </c>
      <c r="N15" s="22" t="s">
        <v>70</v>
      </c>
    </row>
    <row r="16" spans="2:21">
      <c r="B16" s="12">
        <f t="shared" si="0"/>
        <v>94</v>
      </c>
      <c r="C16" s="12">
        <f t="shared" si="1"/>
        <v>1024</v>
      </c>
      <c r="D16" s="12">
        <f t="shared" si="2"/>
        <v>1048</v>
      </c>
      <c r="E16" s="25">
        <f t="shared" si="3"/>
        <v>1.0234375</v>
      </c>
      <c r="G16" s="25">
        <f t="shared" si="4"/>
        <v>13.376979717646538</v>
      </c>
      <c r="H16" s="25">
        <f t="shared" si="5"/>
        <v>9.0184501845018445</v>
      </c>
      <c r="I16" s="25">
        <v>1.7</v>
      </c>
      <c r="J16" s="25">
        <f t="shared" si="6"/>
        <v>5.0334230015374501</v>
      </c>
      <c r="K16" s="25">
        <f t="shared" si="7"/>
        <v>10.043556716109087</v>
      </c>
      <c r="L16" s="25">
        <f t="shared" si="8"/>
        <v>-0.12623366445103557</v>
      </c>
      <c r="N16" s="22" t="s">
        <v>71</v>
      </c>
    </row>
    <row r="17" spans="2:14">
      <c r="B17" s="12">
        <f t="shared" si="0"/>
        <v>105</v>
      </c>
      <c r="C17" s="12">
        <f t="shared" si="1"/>
        <v>1024</v>
      </c>
      <c r="D17" s="12">
        <f t="shared" si="2"/>
        <v>1024</v>
      </c>
      <c r="E17" s="25">
        <f t="shared" si="3"/>
        <v>1</v>
      </c>
      <c r="G17" s="25">
        <f>-LOG(B17*0.000001,2)</f>
        <v>13.217323051658052</v>
      </c>
      <c r="H17" s="25">
        <f t="shared" si="5"/>
        <v>10.073800738007378</v>
      </c>
      <c r="I17" s="25">
        <v>1.7</v>
      </c>
      <c r="J17" s="25">
        <f t="shared" si="6"/>
        <v>5</v>
      </c>
      <c r="K17" s="25">
        <f t="shared" si="7"/>
        <v>9.9173230516580517</v>
      </c>
      <c r="L17" s="25">
        <f t="shared" si="8"/>
        <v>-7.6815597050831741E-2</v>
      </c>
      <c r="N17" s="22" t="s">
        <v>72</v>
      </c>
    </row>
    <row r="18" spans="2:14">
      <c r="B18" s="12">
        <f t="shared" si="0"/>
        <v>105</v>
      </c>
      <c r="C18" s="12">
        <f t="shared" si="1"/>
        <v>1024</v>
      </c>
      <c r="D18" s="12">
        <f t="shared" si="2"/>
        <v>1080</v>
      </c>
      <c r="E18" s="25">
        <f t="shared" si="3"/>
        <v>1.0546875</v>
      </c>
      <c r="G18" s="25">
        <f t="shared" si="4"/>
        <v>13.217323051658052</v>
      </c>
      <c r="H18" s="25">
        <f t="shared" si="5"/>
        <v>10.073800738007378</v>
      </c>
      <c r="I18" s="25">
        <v>1.7</v>
      </c>
      <c r="J18" s="25">
        <f t="shared" si="6"/>
        <v>5.0768155970508309</v>
      </c>
      <c r="K18" s="25">
        <f t="shared" si="7"/>
        <v>9.84050745460722</v>
      </c>
      <c r="L18" s="25">
        <f t="shared" si="8"/>
        <v>-8.7851937764870769E-2</v>
      </c>
      <c r="N18" s="22" t="s">
        <v>73</v>
      </c>
    </row>
    <row r="19" spans="2:14">
      <c r="B19" s="12">
        <f t="shared" si="0"/>
        <v>115</v>
      </c>
      <c r="C19" s="12">
        <f t="shared" si="1"/>
        <v>1024</v>
      </c>
      <c r="D19" s="12">
        <f t="shared" si="2"/>
        <v>1048</v>
      </c>
      <c r="E19" s="25">
        <f t="shared" si="3"/>
        <v>1.0234375</v>
      </c>
      <c r="G19" s="25">
        <f t="shared" si="4"/>
        <v>13.0860785183798</v>
      </c>
      <c r="H19" s="25">
        <f t="shared" si="5"/>
        <v>11.033210332103319</v>
      </c>
      <c r="I19" s="25">
        <v>1.7</v>
      </c>
      <c r="J19" s="25">
        <f t="shared" si="6"/>
        <v>5.0334230015374501</v>
      </c>
      <c r="K19" s="25">
        <f t="shared" si="7"/>
        <v>9.7526555168423492</v>
      </c>
      <c r="L19" s="25">
        <f t="shared" si="8"/>
        <v>-0.14276099037654433</v>
      </c>
      <c r="N19" s="22" t="s">
        <v>74</v>
      </c>
    </row>
    <row r="20" spans="2:14">
      <c r="B20" s="12">
        <f t="shared" si="0"/>
        <v>126</v>
      </c>
      <c r="C20" s="12">
        <f t="shared" si="1"/>
        <v>1024</v>
      </c>
      <c r="D20" s="12">
        <f t="shared" si="2"/>
        <v>1056</v>
      </c>
      <c r="E20" s="25">
        <f t="shared" si="3"/>
        <v>1.03125</v>
      </c>
      <c r="G20" s="25">
        <f t="shared" si="4"/>
        <v>12.954288645824258</v>
      </c>
      <c r="H20" s="25">
        <f t="shared" si="5"/>
        <v>12.088560885608855</v>
      </c>
      <c r="I20" s="25">
        <v>1.7</v>
      </c>
      <c r="J20" s="25">
        <f t="shared" si="6"/>
        <v>5.0443941193584534</v>
      </c>
      <c r="K20" s="25">
        <f t="shared" si="7"/>
        <v>9.6098945264658049</v>
      </c>
      <c r="L20" s="25">
        <f t="shared" si="8"/>
        <v>-8.8156611420425079E-2</v>
      </c>
      <c r="N20" s="22" t="s">
        <v>75</v>
      </c>
    </row>
    <row r="21" spans="2:14">
      <c r="B21" s="12">
        <f t="shared" si="0"/>
        <v>136</v>
      </c>
      <c r="C21" s="12">
        <f t="shared" si="1"/>
        <v>1024</v>
      </c>
      <c r="D21" s="12">
        <f t="shared" si="2"/>
        <v>1040</v>
      </c>
      <c r="E21" s="25">
        <f t="shared" si="3"/>
        <v>1.015625</v>
      </c>
      <c r="G21" s="25">
        <f t="shared" si="4"/>
        <v>12.844105728073835</v>
      </c>
      <c r="H21" s="25">
        <f t="shared" si="5"/>
        <v>13.047970479704796</v>
      </c>
      <c r="I21" s="25">
        <v>1.7</v>
      </c>
      <c r="J21" s="25">
        <f t="shared" si="6"/>
        <v>5.0223678130284544</v>
      </c>
      <c r="K21" s="25">
        <f t="shared" si="7"/>
        <v>9.5217379150453798</v>
      </c>
      <c r="L21" s="25">
        <f t="shared" si="8"/>
        <v>-9.1221160024479886E-2</v>
      </c>
      <c r="N21" s="22" t="s">
        <v>76</v>
      </c>
    </row>
    <row r="22" spans="2:14">
      <c r="B22" s="12">
        <f t="shared" si="0"/>
        <v>146</v>
      </c>
      <c r="C22" s="12">
        <f t="shared" si="1"/>
        <v>1024</v>
      </c>
      <c r="D22" s="12">
        <f t="shared" si="2"/>
        <v>1032</v>
      </c>
      <c r="E22" s="25">
        <f t="shared" si="3"/>
        <v>1.0078125</v>
      </c>
      <c r="G22" s="25">
        <f t="shared" si="4"/>
        <v>12.741744010444156</v>
      </c>
      <c r="H22" s="25">
        <f t="shared" si="5"/>
        <v>14.007380073800737</v>
      </c>
      <c r="I22" s="25">
        <v>1.7</v>
      </c>
      <c r="J22" s="25">
        <f t="shared" si="6"/>
        <v>5.0112272554232549</v>
      </c>
      <c r="K22" s="25">
        <f t="shared" si="7"/>
        <v>9.4305167550208999</v>
      </c>
      <c r="L22" s="25">
        <f t="shared" si="8"/>
        <v>-0.11593674761680717</v>
      </c>
      <c r="N22" s="22" t="s">
        <v>77</v>
      </c>
    </row>
    <row r="23" spans="2:14">
      <c r="B23" s="12">
        <f t="shared" si="0"/>
        <v>157</v>
      </c>
      <c r="C23" s="12">
        <f t="shared" si="1"/>
        <v>1024</v>
      </c>
      <c r="D23" s="12">
        <f t="shared" si="2"/>
        <v>1040</v>
      </c>
      <c r="E23" s="25">
        <f t="shared" si="3"/>
        <v>1.015625</v>
      </c>
      <c r="G23" s="25">
        <f t="shared" si="4"/>
        <v>12.636947820432548</v>
      </c>
      <c r="H23" s="25">
        <f t="shared" si="5"/>
        <v>15.062730627306273</v>
      </c>
      <c r="I23" s="25">
        <v>1.7</v>
      </c>
      <c r="J23" s="25">
        <f t="shared" si="6"/>
        <v>5.0223678130284544</v>
      </c>
      <c r="K23" s="25">
        <f t="shared" si="7"/>
        <v>9.3145800074040928</v>
      </c>
      <c r="L23" s="25">
        <f t="shared" si="8"/>
        <v>-0.10013873209142155</v>
      </c>
      <c r="N23" s="22" t="s">
        <v>78</v>
      </c>
    </row>
    <row r="24" spans="2:14">
      <c r="B24" s="12">
        <f t="shared" si="0"/>
        <v>167</v>
      </c>
      <c r="C24" s="12">
        <f t="shared" si="1"/>
        <v>1024</v>
      </c>
      <c r="D24" s="12">
        <f t="shared" si="2"/>
        <v>1048</v>
      </c>
      <c r="E24" s="25">
        <f t="shared" si="3"/>
        <v>1.0234375</v>
      </c>
      <c r="G24" s="25">
        <f t="shared" si="4"/>
        <v>12.547864276850122</v>
      </c>
      <c r="H24" s="25">
        <f t="shared" si="5"/>
        <v>16.022140221402211</v>
      </c>
      <c r="I24" s="25">
        <v>1.7</v>
      </c>
      <c r="J24" s="25">
        <f t="shared" si="6"/>
        <v>5.0334230015374501</v>
      </c>
      <c r="K24" s="25">
        <f t="shared" si="7"/>
        <v>9.2144412753126712</v>
      </c>
      <c r="L24" s="25">
        <f t="shared" si="8"/>
        <v>-0.11388857245608541</v>
      </c>
      <c r="N24" s="22" t="s">
        <v>79</v>
      </c>
    </row>
    <row r="25" spans="2:14">
      <c r="B25" s="12">
        <f t="shared" si="0"/>
        <v>178</v>
      </c>
      <c r="C25" s="12">
        <f t="shared" si="1"/>
        <v>1024</v>
      </c>
      <c r="D25" s="12">
        <f t="shared" si="2"/>
        <v>1064</v>
      </c>
      <c r="E25" s="25">
        <f t="shared" si="3"/>
        <v>1.0390625</v>
      </c>
      <c r="G25" s="25">
        <f t="shared" si="4"/>
        <v>12.455835138357775</v>
      </c>
      <c r="H25" s="25">
        <f t="shared" si="5"/>
        <v>17.077490774907748</v>
      </c>
      <c r="I25" s="25">
        <v>1.7</v>
      </c>
      <c r="J25" s="25">
        <f t="shared" si="6"/>
        <v>5.0552824355011898</v>
      </c>
      <c r="K25" s="25">
        <f t="shared" si="7"/>
        <v>9.1005527028565858</v>
      </c>
      <c r="L25" s="25">
        <f t="shared" si="8"/>
        <v>-5.6995986747498506E-2</v>
      </c>
      <c r="N25" s="22" t="s">
        <v>80</v>
      </c>
    </row>
    <row r="26" spans="2:14">
      <c r="B26" s="12">
        <f t="shared" si="0"/>
        <v>188</v>
      </c>
      <c r="C26" s="12">
        <f t="shared" si="1"/>
        <v>1024</v>
      </c>
      <c r="D26" s="12">
        <f t="shared" si="2"/>
        <v>1048</v>
      </c>
      <c r="E26" s="25">
        <f t="shared" si="3"/>
        <v>1.0234375</v>
      </c>
      <c r="G26" s="25">
        <f t="shared" si="4"/>
        <v>12.376979717646538</v>
      </c>
      <c r="H26" s="25">
        <f t="shared" si="5"/>
        <v>18.036900369003689</v>
      </c>
      <c r="I26" s="25">
        <v>1.7</v>
      </c>
      <c r="J26" s="25">
        <f t="shared" si="6"/>
        <v>5.0334230015374501</v>
      </c>
      <c r="K26" s="25">
        <f t="shared" si="7"/>
        <v>9.0435567161090873</v>
      </c>
      <c r="L26" s="25">
        <f t="shared" si="8"/>
        <v>-9.3006886687017953E-2</v>
      </c>
      <c r="N26" s="22" t="s">
        <v>81</v>
      </c>
    </row>
    <row r="27" spans="2:14">
      <c r="B27" s="12">
        <f t="shared" si="0"/>
        <v>199</v>
      </c>
      <c r="C27" s="12">
        <f t="shared" si="1"/>
        <v>1024</v>
      </c>
      <c r="D27" s="12">
        <f t="shared" si="2"/>
        <v>1056</v>
      </c>
      <c r="E27" s="25">
        <f t="shared" si="3"/>
        <v>1.03125</v>
      </c>
      <c r="G27" s="25">
        <f t="shared" si="4"/>
        <v>12.294943948780524</v>
      </c>
      <c r="H27" s="25">
        <f t="shared" si="5"/>
        <v>19.092250922509223</v>
      </c>
      <c r="I27" s="25">
        <v>1.7</v>
      </c>
      <c r="J27" s="25">
        <f t="shared" si="6"/>
        <v>5.0443941193584534</v>
      </c>
      <c r="K27" s="25">
        <f t="shared" si="7"/>
        <v>8.9505498294220693</v>
      </c>
      <c r="L27" s="25">
        <f t="shared" si="8"/>
        <v>-0.10499557512232371</v>
      </c>
      <c r="N27" s="22" t="s">
        <v>82</v>
      </c>
    </row>
    <row r="28" spans="2:14">
      <c r="B28" s="12">
        <f t="shared" si="0"/>
        <v>219</v>
      </c>
      <c r="C28" s="12">
        <f t="shared" si="1"/>
        <v>1024</v>
      </c>
      <c r="D28" s="12">
        <f t="shared" si="2"/>
        <v>1032</v>
      </c>
      <c r="E28" s="25">
        <f t="shared" si="3"/>
        <v>1.0078125</v>
      </c>
      <c r="G28" s="25">
        <f t="shared" si="4"/>
        <v>12.156781509723002</v>
      </c>
      <c r="H28" s="25">
        <f t="shared" si="5"/>
        <v>21.011070110701105</v>
      </c>
      <c r="I28" s="25">
        <v>1.7</v>
      </c>
      <c r="J28" s="25">
        <f t="shared" si="6"/>
        <v>5.0112272554232549</v>
      </c>
      <c r="K28" s="25">
        <f t="shared" si="7"/>
        <v>8.8455542542997456</v>
      </c>
      <c r="L28" s="25">
        <f t="shared" si="8"/>
        <v>-9.2898737457396408E-2</v>
      </c>
      <c r="N28" s="22" t="s">
        <v>83</v>
      </c>
    </row>
    <row r="29" spans="2:14">
      <c r="B29" s="12">
        <f t="shared" si="0"/>
        <v>230</v>
      </c>
      <c r="C29" s="12">
        <f t="shared" si="1"/>
        <v>1024</v>
      </c>
      <c r="D29" s="12">
        <f t="shared" si="2"/>
        <v>1048</v>
      </c>
      <c r="E29" s="25">
        <f t="shared" si="3"/>
        <v>1.0234375</v>
      </c>
      <c r="G29" s="25">
        <f t="shared" si="4"/>
        <v>12.0860785183798</v>
      </c>
      <c r="H29" s="25">
        <f t="shared" si="5"/>
        <v>22.066420664206639</v>
      </c>
      <c r="I29" s="25">
        <v>1.7</v>
      </c>
      <c r="J29" s="25">
        <f t="shared" si="6"/>
        <v>5.0334230015374501</v>
      </c>
      <c r="K29" s="25">
        <f t="shared" si="7"/>
        <v>8.7526555168423492</v>
      </c>
      <c r="L29" s="25">
        <f t="shared" si="8"/>
        <v>-0.10385775689220367</v>
      </c>
      <c r="N29" s="22" t="s">
        <v>84</v>
      </c>
    </row>
    <row r="30" spans="2:14">
      <c r="B30" s="12">
        <f t="shared" si="0"/>
        <v>251</v>
      </c>
      <c r="C30" s="12">
        <f t="shared" si="1"/>
        <v>1024</v>
      </c>
      <c r="D30" s="12">
        <f t="shared" si="2"/>
        <v>1032</v>
      </c>
      <c r="E30" s="25">
        <f t="shared" si="3"/>
        <v>1.0078125</v>
      </c>
      <c r="G30" s="25">
        <f t="shared" si="4"/>
        <v>11.960025015373402</v>
      </c>
      <c r="H30" s="25">
        <f t="shared" si="5"/>
        <v>24.081180811808114</v>
      </c>
      <c r="I30" s="25">
        <v>1.7</v>
      </c>
      <c r="J30" s="25">
        <f t="shared" si="6"/>
        <v>5.0112272554232549</v>
      </c>
      <c r="K30" s="25">
        <f t="shared" si="7"/>
        <v>8.6487977599501455</v>
      </c>
      <c r="L30" s="25">
        <f t="shared" si="8"/>
        <v>-9.9378231979844855E-2</v>
      </c>
      <c r="N30" s="22" t="s">
        <v>85</v>
      </c>
    </row>
    <row r="31" spans="2:14">
      <c r="B31" s="12">
        <f t="shared" si="0"/>
        <v>271</v>
      </c>
      <c r="C31" s="12">
        <f t="shared" si="1"/>
        <v>1024</v>
      </c>
      <c r="D31" s="12">
        <f t="shared" si="2"/>
        <v>1024</v>
      </c>
      <c r="E31" s="25">
        <f t="shared" si="3"/>
        <v>1</v>
      </c>
      <c r="G31" s="25">
        <f t="shared" si="4"/>
        <v>11.849419527970301</v>
      </c>
      <c r="H31" s="25">
        <f t="shared" si="5"/>
        <v>25.999999999999996</v>
      </c>
      <c r="I31" s="25">
        <v>1.7</v>
      </c>
      <c r="J31" s="25">
        <f t="shared" si="6"/>
        <v>5</v>
      </c>
      <c r="K31" s="25">
        <f t="shared" si="7"/>
        <v>8.5494195279703007</v>
      </c>
      <c r="L31" s="25">
        <f t="shared" si="8"/>
        <v>-0.10179643040337538</v>
      </c>
      <c r="N31" s="22" t="s">
        <v>86</v>
      </c>
    </row>
    <row r="32" spans="2:14">
      <c r="B32" s="12">
        <f t="shared" si="0"/>
        <v>282</v>
      </c>
      <c r="C32" s="12">
        <f t="shared" si="1"/>
        <v>1024</v>
      </c>
      <c r="D32" s="12">
        <f t="shared" si="2"/>
        <v>1056</v>
      </c>
      <c r="E32" s="25">
        <f t="shared" si="3"/>
        <v>1.03125</v>
      </c>
      <c r="G32" s="25">
        <f t="shared" si="4"/>
        <v>11.79201721692538</v>
      </c>
      <c r="H32" s="25">
        <f t="shared" si="5"/>
        <v>27.05535055350553</v>
      </c>
      <c r="I32" s="25">
        <v>1.7</v>
      </c>
      <c r="J32" s="25">
        <f t="shared" si="6"/>
        <v>5.0443941193584534</v>
      </c>
      <c r="K32" s="25">
        <f t="shared" si="7"/>
        <v>8.4476230975669253</v>
      </c>
      <c r="L32" s="25">
        <f t="shared" si="8"/>
        <v>-0.10362263107415615</v>
      </c>
      <c r="N32" s="22" t="s">
        <v>87</v>
      </c>
    </row>
    <row r="33" spans="2:14">
      <c r="B33" s="12">
        <f t="shared" si="0"/>
        <v>303</v>
      </c>
      <c r="C33" s="12">
        <f t="shared" si="1"/>
        <v>1024</v>
      </c>
      <c r="D33" s="12">
        <f t="shared" si="2"/>
        <v>1056</v>
      </c>
      <c r="E33" s="25">
        <f t="shared" si="3"/>
        <v>1.03125</v>
      </c>
      <c r="G33" s="25">
        <f t="shared" si="4"/>
        <v>11.688394585851224</v>
      </c>
      <c r="H33" s="25">
        <f t="shared" si="5"/>
        <v>29.070110701107012</v>
      </c>
      <c r="I33" s="25">
        <v>1.7</v>
      </c>
      <c r="J33" s="25">
        <f t="shared" si="6"/>
        <v>5.0443941193584534</v>
      </c>
      <c r="K33" s="25">
        <f t="shared" si="7"/>
        <v>8.3440004664927692</v>
      </c>
      <c r="L33" s="25">
        <f t="shared" si="8"/>
        <v>-9.6136189642647807E-2</v>
      </c>
      <c r="N33" s="22" t="s">
        <v>88</v>
      </c>
    </row>
    <row r="34" spans="2:14">
      <c r="B34" s="12">
        <f t="shared" si="0"/>
        <v>334</v>
      </c>
      <c r="C34" s="12">
        <f t="shared" si="1"/>
        <v>1024</v>
      </c>
      <c r="D34" s="12">
        <f t="shared" si="2"/>
        <v>1024</v>
      </c>
      <c r="E34" s="25">
        <f t="shared" si="3"/>
        <v>1</v>
      </c>
      <c r="G34" s="25">
        <f t="shared" si="4"/>
        <v>11.547864276850122</v>
      </c>
      <c r="H34" s="25">
        <f t="shared" si="5"/>
        <v>32.044280442804421</v>
      </c>
      <c r="I34" s="25">
        <v>1.7</v>
      </c>
      <c r="J34" s="25">
        <f t="shared" si="6"/>
        <v>5</v>
      </c>
      <c r="K34" s="25">
        <f t="shared" si="7"/>
        <v>8.2478642768501214</v>
      </c>
      <c r="L34" s="25">
        <f t="shared" si="8"/>
        <v>-9.9198177341245142E-2</v>
      </c>
      <c r="N34" s="22" t="s">
        <v>89</v>
      </c>
    </row>
    <row r="35" spans="2:14">
      <c r="B35" s="12">
        <f t="shared" si="0"/>
        <v>355</v>
      </c>
      <c r="C35" s="12">
        <f t="shared" si="1"/>
        <v>1024</v>
      </c>
      <c r="D35" s="12">
        <f t="shared" si="2"/>
        <v>1032</v>
      </c>
      <c r="E35" s="25">
        <f t="shared" si="3"/>
        <v>1.0078125</v>
      </c>
      <c r="G35" s="25">
        <f t="shared" si="4"/>
        <v>11.459893354932131</v>
      </c>
      <c r="H35" s="25">
        <f t="shared" si="5"/>
        <v>34.059040590405907</v>
      </c>
      <c r="I35" s="25">
        <v>1.7</v>
      </c>
      <c r="J35" s="25">
        <f t="shared" si="6"/>
        <v>5.0112272554232549</v>
      </c>
      <c r="K35" s="25">
        <f t="shared" si="7"/>
        <v>8.1486660995088762</v>
      </c>
      <c r="L35" s="25">
        <f t="shared" si="8"/>
        <v>-0.10510938339978892</v>
      </c>
      <c r="N35" s="22" t="s">
        <v>90</v>
      </c>
    </row>
    <row r="36" spans="2:14">
      <c r="B36" s="12">
        <f t="shared" si="0"/>
        <v>376</v>
      </c>
      <c r="C36" s="12">
        <f t="shared" si="1"/>
        <v>1024</v>
      </c>
      <c r="D36" s="12">
        <f t="shared" si="2"/>
        <v>1048</v>
      </c>
      <c r="E36" s="25">
        <f t="shared" si="3"/>
        <v>1.0234375</v>
      </c>
      <c r="G36" s="25">
        <f t="shared" si="4"/>
        <v>11.376979717646538</v>
      </c>
      <c r="H36" s="25">
        <f t="shared" si="5"/>
        <v>36.073800738007378</v>
      </c>
      <c r="I36" s="25">
        <v>1.7</v>
      </c>
      <c r="J36" s="25">
        <f t="shared" si="6"/>
        <v>5.0334230015374501</v>
      </c>
      <c r="K36" s="25">
        <f t="shared" si="7"/>
        <v>8.0435567161090873</v>
      </c>
      <c r="L36" s="25">
        <f t="shared" si="8"/>
        <v>-9.2100386474416318E-2</v>
      </c>
      <c r="N36" s="22" t="s">
        <v>91</v>
      </c>
    </row>
    <row r="37" spans="2:14">
      <c r="B37" s="12">
        <f t="shared" si="0"/>
        <v>407</v>
      </c>
      <c r="C37" s="12">
        <f t="shared" si="1"/>
        <v>1024</v>
      </c>
      <c r="D37" s="12">
        <f t="shared" si="2"/>
        <v>1032</v>
      </c>
      <c r="E37" s="25">
        <f t="shared" si="3"/>
        <v>1.0078125</v>
      </c>
      <c r="G37" s="25">
        <f t="shared" si="4"/>
        <v>11.262683585057927</v>
      </c>
      <c r="H37" s="25">
        <f t="shared" si="5"/>
        <v>39.047970479704794</v>
      </c>
      <c r="I37" s="25">
        <v>1.7</v>
      </c>
      <c r="J37" s="25">
        <f t="shared" si="6"/>
        <v>5.0112272554232549</v>
      </c>
      <c r="K37" s="25">
        <f t="shared" si="7"/>
        <v>7.951456329634671</v>
      </c>
      <c r="L37" s="25">
        <f t="shared" si="8"/>
        <v>-0.10590207533492446</v>
      </c>
      <c r="N37" s="22" t="s">
        <v>92</v>
      </c>
    </row>
    <row r="38" spans="2:14">
      <c r="B38" s="12">
        <f t="shared" si="0"/>
        <v>438</v>
      </c>
      <c r="C38" s="12">
        <f t="shared" si="1"/>
        <v>1024</v>
      </c>
      <c r="D38" s="12">
        <f t="shared" si="2"/>
        <v>1032</v>
      </c>
      <c r="E38" s="25">
        <f t="shared" si="3"/>
        <v>1.0078125</v>
      </c>
      <c r="G38" s="25">
        <f t="shared" si="4"/>
        <v>11.156781509723002</v>
      </c>
      <c r="H38" s="25">
        <f t="shared" si="5"/>
        <v>42.022140221402211</v>
      </c>
      <c r="I38" s="25">
        <v>1.7</v>
      </c>
      <c r="J38" s="25">
        <f t="shared" si="6"/>
        <v>5.0112272554232549</v>
      </c>
      <c r="K38" s="25">
        <f t="shared" si="7"/>
        <v>7.8455542542997465</v>
      </c>
      <c r="L38" s="25">
        <f t="shared" si="8"/>
        <v>-0.10172988696382745</v>
      </c>
      <c r="N38" s="22" t="s">
        <v>93</v>
      </c>
    </row>
    <row r="39" spans="2:14">
      <c r="B39" s="12">
        <f t="shared" si="0"/>
        <v>470</v>
      </c>
      <c r="C39" s="12">
        <f t="shared" si="1"/>
        <v>1024</v>
      </c>
      <c r="D39" s="12">
        <f t="shared" si="2"/>
        <v>1032</v>
      </c>
      <c r="E39" s="25">
        <f t="shared" si="3"/>
        <v>1.0078125</v>
      </c>
      <c r="G39" s="25">
        <f t="shared" si="4"/>
        <v>11.055051622759175</v>
      </c>
      <c r="H39" s="25">
        <f t="shared" si="5"/>
        <v>45.092250922509223</v>
      </c>
      <c r="I39" s="25">
        <v>1.7</v>
      </c>
      <c r="J39" s="25">
        <f t="shared" si="6"/>
        <v>5.0112272554232549</v>
      </c>
      <c r="K39" s="25">
        <f t="shared" si="7"/>
        <v>7.7438243673359191</v>
      </c>
      <c r="L39" s="25">
        <f t="shared" si="8"/>
        <v>-9.2149846630208643E-2</v>
      </c>
      <c r="N39" s="22" t="s">
        <v>94</v>
      </c>
    </row>
    <row r="40" spans="2:14">
      <c r="B40" s="12">
        <f t="shared" si="0"/>
        <v>501</v>
      </c>
      <c r="C40" s="12">
        <f t="shared" si="1"/>
        <v>1024</v>
      </c>
      <c r="D40" s="12">
        <f t="shared" si="2"/>
        <v>1032</v>
      </c>
      <c r="E40" s="25">
        <f t="shared" si="3"/>
        <v>1.0078125</v>
      </c>
      <c r="G40" s="25">
        <f t="shared" si="4"/>
        <v>10.962901776128966</v>
      </c>
      <c r="H40" s="25">
        <f t="shared" si="5"/>
        <v>48.066420664206632</v>
      </c>
      <c r="I40" s="25">
        <v>1.7</v>
      </c>
      <c r="J40" s="25">
        <f t="shared" si="6"/>
        <v>5.0112272554232549</v>
      </c>
      <c r="K40" s="25">
        <f t="shared" si="7"/>
        <v>7.6516745207057104</v>
      </c>
      <c r="L40" s="25">
        <f t="shared" si="8"/>
        <v>-9.7756199911180452E-2</v>
      </c>
      <c r="N40" s="22" t="s">
        <v>95</v>
      </c>
    </row>
    <row r="41" spans="2:14">
      <c r="B41" s="12">
        <f t="shared" si="0"/>
        <v>532</v>
      </c>
      <c r="C41" s="12">
        <f t="shared" si="1"/>
        <v>1024</v>
      </c>
      <c r="D41" s="12">
        <f t="shared" si="2"/>
        <v>1040</v>
      </c>
      <c r="E41" s="25">
        <f t="shared" si="3"/>
        <v>1.015625</v>
      </c>
      <c r="G41" s="25">
        <f t="shared" si="4"/>
        <v>10.876286133822985</v>
      </c>
      <c r="H41" s="25">
        <f t="shared" si="5"/>
        <v>51.040590405904062</v>
      </c>
      <c r="I41" s="25">
        <v>1.7</v>
      </c>
      <c r="J41" s="25">
        <f t="shared" si="6"/>
        <v>5.0223678130284544</v>
      </c>
      <c r="K41" s="25">
        <f t="shared" si="7"/>
        <v>7.55391832079453</v>
      </c>
      <c r="L41" s="25">
        <f t="shared" si="8"/>
        <v>-0.11217431035037251</v>
      </c>
      <c r="N41" s="22" t="s">
        <v>96</v>
      </c>
    </row>
    <row r="42" spans="2:14">
      <c r="B42" s="12">
        <f t="shared" si="0"/>
        <v>584</v>
      </c>
      <c r="C42" s="12">
        <f t="shared" si="1"/>
        <v>1024</v>
      </c>
      <c r="D42" s="12">
        <f t="shared" si="2"/>
        <v>1024</v>
      </c>
      <c r="E42" s="25">
        <f t="shared" si="3"/>
        <v>1</v>
      </c>
      <c r="G42" s="25">
        <f t="shared" si="4"/>
        <v>10.741744010444158</v>
      </c>
      <c r="H42" s="25">
        <f t="shared" si="5"/>
        <v>56.02952029520295</v>
      </c>
      <c r="I42" s="25">
        <v>1.7</v>
      </c>
      <c r="J42" s="25">
        <f t="shared" si="6"/>
        <v>5</v>
      </c>
      <c r="K42" s="25">
        <f t="shared" si="7"/>
        <v>7.4417440104441575</v>
      </c>
      <c r="L42" s="25">
        <f t="shared" si="8"/>
        <v>-9.6985854375040148E-2</v>
      </c>
      <c r="N42" s="22" t="s">
        <v>97</v>
      </c>
    </row>
    <row r="43" spans="2:14">
      <c r="B43" s="12">
        <f t="shared" si="0"/>
        <v>615</v>
      </c>
      <c r="C43" s="12">
        <f t="shared" si="1"/>
        <v>1024</v>
      </c>
      <c r="D43" s="12">
        <f t="shared" si="2"/>
        <v>1040</v>
      </c>
      <c r="E43" s="25">
        <f t="shared" si="3"/>
        <v>1.015625</v>
      </c>
      <c r="G43" s="25">
        <f t="shared" si="4"/>
        <v>10.667125969097572</v>
      </c>
      <c r="H43" s="25">
        <f t="shared" si="5"/>
        <v>59.003690036900366</v>
      </c>
      <c r="I43" s="25">
        <v>1.7</v>
      </c>
      <c r="J43" s="25">
        <f t="shared" si="6"/>
        <v>5.0223678130284544</v>
      </c>
      <c r="K43" s="25">
        <f t="shared" si="7"/>
        <v>7.3447581560691173</v>
      </c>
      <c r="L43" s="25">
        <f t="shared" si="8"/>
        <v>-9.6893879218995949E-2</v>
      </c>
      <c r="N43" s="22" t="s">
        <v>98</v>
      </c>
    </row>
    <row r="44" spans="2:14">
      <c r="B44" s="12">
        <f t="shared" si="0"/>
        <v>668</v>
      </c>
      <c r="C44" s="12">
        <f t="shared" si="1"/>
        <v>1024</v>
      </c>
      <c r="D44" s="12">
        <f t="shared" si="2"/>
        <v>1024</v>
      </c>
      <c r="E44" s="25">
        <f t="shared" si="3"/>
        <v>1</v>
      </c>
      <c r="G44" s="25">
        <f t="shared" si="4"/>
        <v>10.547864276850122</v>
      </c>
      <c r="H44" s="25">
        <f t="shared" si="5"/>
        <v>64.088560885608842</v>
      </c>
      <c r="I44" s="25">
        <v>1.7</v>
      </c>
      <c r="J44" s="25">
        <f t="shared" si="6"/>
        <v>5</v>
      </c>
      <c r="K44" s="25">
        <f t="shared" si="7"/>
        <v>7.2478642768501214</v>
      </c>
      <c r="L44" s="25">
        <f t="shared" si="8"/>
        <v>-9.7164780188719213E-2</v>
      </c>
      <c r="N44" s="22" t="s">
        <v>99</v>
      </c>
    </row>
    <row r="45" spans="2:14">
      <c r="B45" s="12">
        <f t="shared" si="0"/>
        <v>709</v>
      </c>
      <c r="C45" s="12">
        <f t="shared" si="1"/>
        <v>1024</v>
      </c>
      <c r="D45" s="12">
        <f t="shared" si="2"/>
        <v>1032</v>
      </c>
      <c r="E45" s="25">
        <f t="shared" si="3"/>
        <v>1.0078125</v>
      </c>
      <c r="G45" s="25">
        <f t="shared" si="4"/>
        <v>10.461926752084658</v>
      </c>
      <c r="H45" s="25">
        <f t="shared" si="5"/>
        <v>68.022140221402211</v>
      </c>
      <c r="I45" s="25">
        <v>1.7</v>
      </c>
      <c r="J45" s="25">
        <f t="shared" si="6"/>
        <v>5.0112272554232549</v>
      </c>
      <c r="K45" s="25">
        <f t="shared" si="7"/>
        <v>7.1506994966614021</v>
      </c>
      <c r="L45" s="25">
        <f t="shared" si="8"/>
        <v>-0.10211082626402934</v>
      </c>
      <c r="N45" s="22" t="s">
        <v>100</v>
      </c>
    </row>
    <row r="46" spans="2:14">
      <c r="B46" s="12">
        <f t="shared" si="0"/>
        <v>761</v>
      </c>
      <c r="C46" s="12">
        <f t="shared" si="1"/>
        <v>1024</v>
      </c>
      <c r="D46" s="12">
        <f t="shared" si="2"/>
        <v>1032</v>
      </c>
      <c r="E46" s="25">
        <f t="shared" si="3"/>
        <v>1.0078125</v>
      </c>
      <c r="G46" s="25">
        <f t="shared" si="4"/>
        <v>10.359815925820628</v>
      </c>
      <c r="H46" s="25">
        <f t="shared" si="5"/>
        <v>73.011070110701098</v>
      </c>
      <c r="I46" s="25">
        <v>1.7</v>
      </c>
      <c r="J46" s="25">
        <f t="shared" si="6"/>
        <v>5.0112272554232549</v>
      </c>
      <c r="K46" s="25">
        <f t="shared" si="7"/>
        <v>7.0485886703973728</v>
      </c>
      <c r="L46" s="25">
        <f t="shared" si="8"/>
        <v>-9.5358898571481276E-2</v>
      </c>
      <c r="N46" s="22" t="s">
        <v>101</v>
      </c>
    </row>
    <row r="47" spans="2:14">
      <c r="B47" s="12">
        <f t="shared" si="0"/>
        <v>813</v>
      </c>
      <c r="C47" s="12">
        <f t="shared" si="1"/>
        <v>1024</v>
      </c>
      <c r="D47" s="12">
        <f t="shared" si="2"/>
        <v>1032</v>
      </c>
      <c r="E47" s="25">
        <f t="shared" si="3"/>
        <v>1.0078125</v>
      </c>
      <c r="G47" s="25">
        <f t="shared" si="4"/>
        <v>10.264457027249147</v>
      </c>
      <c r="H47" s="25">
        <f t="shared" si="5"/>
        <v>77.999999999999986</v>
      </c>
      <c r="I47" s="25">
        <v>1.7</v>
      </c>
      <c r="J47" s="25">
        <f t="shared" si="6"/>
        <v>5.0112272554232549</v>
      </c>
      <c r="K47" s="25">
        <f t="shared" si="7"/>
        <v>6.9532297718258915</v>
      </c>
      <c r="L47" s="25">
        <f t="shared" si="8"/>
        <v>-0.10767551752614679</v>
      </c>
      <c r="N47" s="22" t="s">
        <v>102</v>
      </c>
    </row>
    <row r="48" spans="2:14">
      <c r="B48" s="12">
        <f t="shared" si="0"/>
        <v>876</v>
      </c>
      <c r="C48" s="12">
        <f t="shared" si="1"/>
        <v>1024</v>
      </c>
      <c r="D48" s="12">
        <f t="shared" si="2"/>
        <v>1032</v>
      </c>
      <c r="E48" s="25">
        <f t="shared" si="3"/>
        <v>1.0078125</v>
      </c>
      <c r="G48" s="25">
        <f t="shared" si="4"/>
        <v>10.156781509723</v>
      </c>
      <c r="H48" s="25">
        <f t="shared" si="5"/>
        <v>84.044280442804421</v>
      </c>
      <c r="I48" s="25">
        <v>1.7</v>
      </c>
      <c r="J48" s="25">
        <f t="shared" si="6"/>
        <v>5.0112272554232549</v>
      </c>
      <c r="K48" s="25">
        <f t="shared" si="7"/>
        <v>6.8455542542997447</v>
      </c>
      <c r="L48" s="25">
        <f t="shared" si="8"/>
        <v>-0.10019428805260056</v>
      </c>
      <c r="N48" s="22" t="s">
        <v>103</v>
      </c>
    </row>
    <row r="49" spans="2:14">
      <c r="B49" s="12">
        <f t="shared" si="0"/>
        <v>939</v>
      </c>
      <c r="C49" s="12">
        <f t="shared" si="1"/>
        <v>1024</v>
      </c>
      <c r="D49" s="12">
        <f t="shared" si="2"/>
        <v>1032</v>
      </c>
      <c r="E49" s="25">
        <f t="shared" si="3"/>
        <v>1.0078125</v>
      </c>
      <c r="G49" s="25">
        <f t="shared" si="4"/>
        <v>10.0565872216704</v>
      </c>
      <c r="H49" s="25">
        <f t="shared" si="5"/>
        <v>90.088560885608842</v>
      </c>
      <c r="I49" s="25">
        <v>1.7</v>
      </c>
      <c r="J49" s="25">
        <f t="shared" si="6"/>
        <v>5.0112272554232549</v>
      </c>
      <c r="K49" s="25">
        <f t="shared" si="7"/>
        <v>6.7453599662471442</v>
      </c>
      <c r="L49" s="25">
        <f t="shared" si="8"/>
        <v>-9.2244911182218559E-2</v>
      </c>
      <c r="N49" s="22" t="s">
        <v>104</v>
      </c>
    </row>
    <row r="50" spans="2:14">
      <c r="B50" s="12">
        <f t="shared" si="0"/>
        <v>1001</v>
      </c>
      <c r="C50" s="12">
        <f t="shared" si="1"/>
        <v>1024</v>
      </c>
      <c r="D50" s="12">
        <f t="shared" si="2"/>
        <v>1032</v>
      </c>
      <c r="E50" s="25">
        <f t="shared" si="3"/>
        <v>1.0078125</v>
      </c>
      <c r="G50" s="25">
        <f t="shared" si="4"/>
        <v>9.9643423104881812</v>
      </c>
      <c r="H50" s="25">
        <f t="shared" si="5"/>
        <v>96.036900369003675</v>
      </c>
      <c r="I50" s="25">
        <v>1.7</v>
      </c>
      <c r="J50" s="25">
        <f t="shared" si="6"/>
        <v>5.0112272554232549</v>
      </c>
      <c r="K50" s="25">
        <f t="shared" si="7"/>
        <v>6.6531150550649256</v>
      </c>
      <c r="L50" s="25">
        <f t="shared" si="8"/>
        <v>-0.10155201914941969</v>
      </c>
      <c r="N50" s="22" t="s">
        <v>105</v>
      </c>
    </row>
    <row r="51" spans="2:14">
      <c r="B51" s="12">
        <f t="shared" si="0"/>
        <v>1074</v>
      </c>
      <c r="C51" s="12">
        <f t="shared" si="1"/>
        <v>1024</v>
      </c>
      <c r="D51" s="12">
        <f t="shared" si="2"/>
        <v>1032</v>
      </c>
      <c r="E51" s="25">
        <f t="shared" si="3"/>
        <v>1.0078125</v>
      </c>
      <c r="G51" s="25">
        <f t="shared" si="4"/>
        <v>9.8627902913387615</v>
      </c>
      <c r="H51" s="25">
        <f t="shared" si="5"/>
        <v>103.04059040590404</v>
      </c>
      <c r="I51" s="25">
        <v>1.7</v>
      </c>
      <c r="J51" s="25">
        <f t="shared" si="6"/>
        <v>5.0112272554232549</v>
      </c>
      <c r="K51" s="25">
        <f t="shared" si="7"/>
        <v>6.5515630359155059</v>
      </c>
      <c r="L51" s="25">
        <f t="shared" si="8"/>
        <v>-0.10739487112207691</v>
      </c>
      <c r="N51" s="22" t="s">
        <v>106</v>
      </c>
    </row>
    <row r="52" spans="2:14">
      <c r="B52" s="12">
        <f t="shared" si="0"/>
        <v>1157</v>
      </c>
      <c r="C52" s="12">
        <f t="shared" si="1"/>
        <v>1024</v>
      </c>
      <c r="D52" s="12">
        <f t="shared" si="2"/>
        <v>1032</v>
      </c>
      <c r="E52" s="25">
        <f t="shared" si="3"/>
        <v>1.0078125</v>
      </c>
      <c r="G52" s="25">
        <f t="shared" si="4"/>
        <v>9.7553954202166846</v>
      </c>
      <c r="H52" s="25">
        <f t="shared" si="5"/>
        <v>111.00369003690037</v>
      </c>
      <c r="I52" s="25">
        <v>1.7</v>
      </c>
      <c r="J52" s="25">
        <f t="shared" si="6"/>
        <v>5.0112272554232549</v>
      </c>
      <c r="K52" s="25">
        <f t="shared" si="7"/>
        <v>6.444168164793429</v>
      </c>
      <c r="L52" s="25">
        <f t="shared" si="8"/>
        <v>-0.10146566963507464</v>
      </c>
      <c r="N52" s="22" t="s">
        <v>107</v>
      </c>
    </row>
    <row r="53" spans="2:14">
      <c r="B53" s="12">
        <f t="shared" si="0"/>
        <v>1251</v>
      </c>
      <c r="C53" s="12">
        <f t="shared" si="1"/>
        <v>1024</v>
      </c>
      <c r="D53" s="12">
        <f t="shared" si="2"/>
        <v>1024</v>
      </c>
      <c r="E53" s="25">
        <f t="shared" si="3"/>
        <v>1</v>
      </c>
      <c r="G53" s="25">
        <f t="shared" si="4"/>
        <v>9.6427024951583551</v>
      </c>
      <c r="H53" s="25">
        <f t="shared" si="5"/>
        <v>120.02214022140221</v>
      </c>
      <c r="I53" s="25">
        <v>1.7</v>
      </c>
      <c r="J53" s="25">
        <f t="shared" si="6"/>
        <v>5</v>
      </c>
      <c r="K53" s="25">
        <f t="shared" si="7"/>
        <v>6.3427024951583544</v>
      </c>
      <c r="L53" s="25">
        <f t="shared" si="8"/>
        <v>-9.3757952409097456E-2</v>
      </c>
      <c r="N53" s="22" t="s">
        <v>108</v>
      </c>
    </row>
    <row r="54" spans="2:14">
      <c r="B54" s="12">
        <f t="shared" si="0"/>
        <v>1335</v>
      </c>
      <c r="C54" s="12">
        <f t="shared" si="1"/>
        <v>1024</v>
      </c>
      <c r="D54" s="12">
        <f t="shared" si="2"/>
        <v>1024</v>
      </c>
      <c r="E54" s="25">
        <f t="shared" si="3"/>
        <v>1</v>
      </c>
      <c r="G54" s="25">
        <f t="shared" si="4"/>
        <v>9.5489445427492576</v>
      </c>
      <c r="H54" s="25">
        <f t="shared" si="5"/>
        <v>128.08118081180811</v>
      </c>
      <c r="I54" s="25">
        <v>1.7</v>
      </c>
      <c r="J54" s="25">
        <f t="shared" si="6"/>
        <v>5</v>
      </c>
      <c r="K54" s="25">
        <f t="shared" si="7"/>
        <v>6.2489445427492569</v>
      </c>
      <c r="L54" s="25">
        <f t="shared" si="8"/>
        <v>-9.8245046087853005E-2</v>
      </c>
      <c r="N54" s="22" t="s">
        <v>109</v>
      </c>
    </row>
    <row r="55" spans="2:14">
      <c r="B55" s="12">
        <f t="shared" si="0"/>
        <v>1418</v>
      </c>
      <c r="C55" s="12">
        <f t="shared" si="1"/>
        <v>1024</v>
      </c>
      <c r="D55" s="12">
        <f t="shared" si="2"/>
        <v>1032</v>
      </c>
      <c r="E55" s="25">
        <f t="shared" si="3"/>
        <v>1.0078125</v>
      </c>
      <c r="G55" s="25">
        <f t="shared" si="4"/>
        <v>9.4619267520846595</v>
      </c>
      <c r="H55" s="25">
        <f t="shared" si="5"/>
        <v>136.04428044280442</v>
      </c>
      <c r="I55" s="25">
        <v>1.7</v>
      </c>
      <c r="J55" s="25">
        <f t="shared" si="6"/>
        <v>5.0112272554232549</v>
      </c>
      <c r="K55" s="25">
        <f t="shared" si="7"/>
        <v>6.1506994966614039</v>
      </c>
      <c r="L55" s="25">
        <f t="shared" si="8"/>
        <v>-0.10127290899600805</v>
      </c>
      <c r="N55" s="22" t="s">
        <v>110</v>
      </c>
    </row>
    <row r="56" spans="2:14">
      <c r="B56" s="12">
        <f t="shared" si="0"/>
        <v>1533</v>
      </c>
      <c r="C56" s="12">
        <f t="shared" si="1"/>
        <v>1024</v>
      </c>
      <c r="D56" s="12">
        <f t="shared" si="2"/>
        <v>1024</v>
      </c>
      <c r="E56" s="25">
        <f t="shared" si="3"/>
        <v>1</v>
      </c>
      <c r="G56" s="25">
        <f t="shared" si="4"/>
        <v>9.3494265876653966</v>
      </c>
      <c r="H56" s="25">
        <f t="shared" si="5"/>
        <v>147.07749077490772</v>
      </c>
      <c r="I56" s="25">
        <v>1.7</v>
      </c>
      <c r="J56" s="25">
        <f t="shared" si="6"/>
        <v>5</v>
      </c>
      <c r="K56" s="25">
        <f t="shared" si="7"/>
        <v>6.0494265876653959</v>
      </c>
      <c r="L56" s="25">
        <f t="shared" si="8"/>
        <v>-0.10348285806757751</v>
      </c>
      <c r="N56" s="22" t="s">
        <v>111</v>
      </c>
    </row>
    <row r="57" spans="2:14">
      <c r="B57" s="12">
        <f t="shared" si="0"/>
        <v>1647</v>
      </c>
      <c r="C57" s="12">
        <f t="shared" si="1"/>
        <v>1024</v>
      </c>
      <c r="D57" s="12">
        <f t="shared" si="2"/>
        <v>1024</v>
      </c>
      <c r="E57" s="25">
        <f t="shared" si="3"/>
        <v>1</v>
      </c>
      <c r="G57" s="25">
        <f t="shared" si="4"/>
        <v>9.2459437295978191</v>
      </c>
      <c r="H57" s="25">
        <f t="shared" si="5"/>
        <v>158.01476014760146</v>
      </c>
      <c r="I57" s="25">
        <v>1.7</v>
      </c>
      <c r="J57" s="25">
        <f t="shared" si="6"/>
        <v>5</v>
      </c>
      <c r="K57" s="25">
        <f t="shared" si="7"/>
        <v>5.9459437295978184</v>
      </c>
      <c r="L57" s="25">
        <f t="shared" si="8"/>
        <v>-9.7373369194057702E-2</v>
      </c>
      <c r="N57" s="22" t="s">
        <v>112</v>
      </c>
    </row>
    <row r="58" spans="2:14">
      <c r="B58" s="12">
        <f t="shared" si="0"/>
        <v>1762</v>
      </c>
      <c r="C58" s="12">
        <f t="shared" si="1"/>
        <v>1024</v>
      </c>
      <c r="D58" s="12">
        <f t="shared" si="2"/>
        <v>1024</v>
      </c>
      <c r="E58" s="25">
        <f t="shared" si="3"/>
        <v>1</v>
      </c>
      <c r="G58" s="25">
        <f t="shared" si="4"/>
        <v>9.1485703604037614</v>
      </c>
      <c r="H58" s="25">
        <f t="shared" si="5"/>
        <v>169.04797047970476</v>
      </c>
      <c r="I58" s="25">
        <v>1.7</v>
      </c>
      <c r="J58" s="25">
        <f t="shared" si="6"/>
        <v>5</v>
      </c>
      <c r="K58" s="25">
        <f t="shared" si="7"/>
        <v>5.8485703604037607</v>
      </c>
      <c r="L58" s="25">
        <f t="shared" si="8"/>
        <v>-0.10650575449106192</v>
      </c>
      <c r="N58" s="22" t="s">
        <v>113</v>
      </c>
    </row>
    <row r="59" spans="2:14">
      <c r="B59" s="12">
        <f t="shared" si="0"/>
        <v>1897</v>
      </c>
      <c r="C59" s="12">
        <f t="shared" si="1"/>
        <v>1024</v>
      </c>
      <c r="D59" s="12">
        <f t="shared" si="2"/>
        <v>1024</v>
      </c>
      <c r="E59" s="25">
        <f t="shared" si="3"/>
        <v>1</v>
      </c>
      <c r="G59" s="25">
        <f t="shared" si="4"/>
        <v>9.0420646059126994</v>
      </c>
      <c r="H59" s="25">
        <f t="shared" si="5"/>
        <v>181.99999999999997</v>
      </c>
      <c r="I59" s="25">
        <v>1.7</v>
      </c>
      <c r="J59" s="25">
        <f t="shared" si="6"/>
        <v>5</v>
      </c>
      <c r="K59" s="25">
        <f t="shared" si="7"/>
        <v>5.7420646059126987</v>
      </c>
      <c r="L59" s="25">
        <f t="shared" si="8"/>
        <v>-9.2776641146807393E-2</v>
      </c>
      <c r="N59" s="22" t="s">
        <v>114</v>
      </c>
    </row>
    <row r="60" spans="2:14">
      <c r="B60" s="12">
        <f t="shared" si="0"/>
        <v>2023</v>
      </c>
      <c r="C60" s="12">
        <f t="shared" si="1"/>
        <v>1024</v>
      </c>
      <c r="D60" s="12">
        <f t="shared" si="2"/>
        <v>1024</v>
      </c>
      <c r="E60" s="25">
        <f t="shared" si="3"/>
        <v>1</v>
      </c>
      <c r="G60" s="25">
        <f t="shared" si="4"/>
        <v>8.9492879647658921</v>
      </c>
      <c r="H60" s="25">
        <f t="shared" si="5"/>
        <v>194.08856088560887</v>
      </c>
      <c r="I60" s="25">
        <v>1.7</v>
      </c>
      <c r="J60" s="25">
        <f t="shared" si="6"/>
        <v>5</v>
      </c>
      <c r="K60" s="25">
        <f t="shared" si="7"/>
        <v>5.6492879647658913</v>
      </c>
      <c r="L60" s="25">
        <f t="shared" si="8"/>
        <v>-9.9868436795588877E-2</v>
      </c>
      <c r="N60" s="22" t="s">
        <v>115</v>
      </c>
    </row>
    <row r="61" spans="2:14">
      <c r="B61" s="12">
        <f t="shared" si="0"/>
        <v>2168</v>
      </c>
      <c r="C61" s="12">
        <f t="shared" si="1"/>
        <v>1024</v>
      </c>
      <c r="D61" s="12">
        <f t="shared" si="2"/>
        <v>1024</v>
      </c>
      <c r="E61" s="25">
        <f t="shared" si="3"/>
        <v>1</v>
      </c>
      <c r="G61" s="25">
        <f t="shared" si="4"/>
        <v>8.8494195279703032</v>
      </c>
      <c r="H61" s="25">
        <f t="shared" si="5"/>
        <v>207.99999999999997</v>
      </c>
      <c r="I61" s="25">
        <v>1.7</v>
      </c>
      <c r="J61" s="25">
        <f t="shared" si="6"/>
        <v>5</v>
      </c>
      <c r="K61" s="25">
        <f t="shared" si="7"/>
        <v>5.5494195279703025</v>
      </c>
      <c r="L61" s="25">
        <f t="shared" si="8"/>
        <v>-0.10705779324315223</v>
      </c>
      <c r="N61" s="22" t="s">
        <v>116</v>
      </c>
    </row>
    <row r="62" spans="2:14">
      <c r="B62" s="12">
        <f t="shared" si="0"/>
        <v>2335</v>
      </c>
      <c r="C62" s="12">
        <f t="shared" si="1"/>
        <v>1024</v>
      </c>
      <c r="D62" s="12">
        <f t="shared" si="2"/>
        <v>1024</v>
      </c>
      <c r="E62" s="25">
        <f t="shared" si="3"/>
        <v>1</v>
      </c>
      <c r="G62" s="25">
        <f t="shared" si="4"/>
        <v>8.7423617347271509</v>
      </c>
      <c r="H62" s="25">
        <f t="shared" si="5"/>
        <v>224.0221402214022</v>
      </c>
      <c r="I62" s="25">
        <v>1.7</v>
      </c>
      <c r="J62" s="25">
        <f t="shared" si="6"/>
        <v>5</v>
      </c>
      <c r="K62" s="25">
        <f t="shared" si="7"/>
        <v>5.4423617347271502</v>
      </c>
      <c r="L62" s="25">
        <f t="shared" si="8"/>
        <v>-9.3881518426977451E-2</v>
      </c>
      <c r="N62" s="22" t="s">
        <v>117</v>
      </c>
    </row>
    <row r="63" spans="2:14">
      <c r="B63" s="12">
        <f t="shared" si="0"/>
        <v>2492</v>
      </c>
      <c r="C63" s="12">
        <f t="shared" si="1"/>
        <v>1024</v>
      </c>
      <c r="D63" s="12">
        <f t="shared" si="2"/>
        <v>1024</v>
      </c>
      <c r="E63" s="25">
        <f t="shared" si="3"/>
        <v>1</v>
      </c>
      <c r="G63" s="25">
        <f t="shared" si="4"/>
        <v>8.6484802163001735</v>
      </c>
      <c r="H63" s="25">
        <f t="shared" si="5"/>
        <v>239.08487084870848</v>
      </c>
      <c r="I63" s="25">
        <v>1.7</v>
      </c>
      <c r="J63" s="25">
        <f t="shared" si="6"/>
        <v>5</v>
      </c>
      <c r="K63" s="25">
        <f t="shared" si="7"/>
        <v>5.3484802163001728</v>
      </c>
      <c r="L63" s="25">
        <f t="shared" si="8"/>
        <v>-9.8995237117966539E-2</v>
      </c>
      <c r="N63" s="22" t="s">
        <v>118</v>
      </c>
    </row>
    <row r="64" spans="2:14">
      <c r="B64" s="12">
        <f t="shared" si="0"/>
        <v>2669</v>
      </c>
      <c r="C64" s="12">
        <f t="shared" si="1"/>
        <v>1024</v>
      </c>
      <c r="D64" s="12">
        <f t="shared" si="2"/>
        <v>1024</v>
      </c>
      <c r="E64" s="25">
        <f t="shared" si="3"/>
        <v>1</v>
      </c>
      <c r="G64" s="25">
        <f t="shared" si="4"/>
        <v>8.549484979182207</v>
      </c>
      <c r="H64" s="25">
        <f t="shared" si="5"/>
        <v>256.06642066420659</v>
      </c>
      <c r="I64" s="25">
        <v>1.7</v>
      </c>
      <c r="J64" s="25">
        <f t="shared" si="6"/>
        <v>5</v>
      </c>
      <c r="K64" s="25">
        <f t="shared" si="7"/>
        <v>5.2494849791822062</v>
      </c>
      <c r="L64" s="25">
        <f t="shared" si="8"/>
        <v>-9.7696673887133656E-2</v>
      </c>
      <c r="N64" s="22" t="s">
        <v>119</v>
      </c>
    </row>
    <row r="65" spans="2:14">
      <c r="B65" s="12">
        <f t="shared" si="0"/>
        <v>2856</v>
      </c>
      <c r="C65" s="12">
        <f t="shared" si="1"/>
        <v>1024</v>
      </c>
      <c r="D65" s="12">
        <f t="shared" si="2"/>
        <v>1024</v>
      </c>
      <c r="E65" s="25">
        <f t="shared" si="3"/>
        <v>1</v>
      </c>
      <c r="G65" s="25">
        <f t="shared" si="4"/>
        <v>8.4517883052950733</v>
      </c>
      <c r="H65" s="25">
        <f t="shared" si="5"/>
        <v>274.00738007380073</v>
      </c>
      <c r="I65" s="25">
        <v>1.7</v>
      </c>
      <c r="J65" s="25">
        <f t="shared" si="6"/>
        <v>5</v>
      </c>
      <c r="K65" s="25">
        <f t="shared" si="7"/>
        <v>5.1517883052950726</v>
      </c>
      <c r="L65" s="25">
        <f t="shared" si="8"/>
        <v>-0.10659043108486443</v>
      </c>
      <c r="N65" s="22" t="s">
        <v>120</v>
      </c>
    </row>
    <row r="66" spans="2:14">
      <c r="B66" s="12">
        <f t="shared" si="0"/>
        <v>3075</v>
      </c>
      <c r="C66" s="12">
        <f t="shared" si="1"/>
        <v>1024</v>
      </c>
      <c r="D66" s="12">
        <f t="shared" si="2"/>
        <v>1024</v>
      </c>
      <c r="E66" s="25">
        <f t="shared" si="3"/>
        <v>1</v>
      </c>
      <c r="G66" s="25">
        <f t="shared" si="4"/>
        <v>8.3451978742102089</v>
      </c>
      <c r="H66" s="25">
        <f t="shared" si="5"/>
        <v>295.01845018450183</v>
      </c>
      <c r="I66" s="25">
        <v>1.7</v>
      </c>
      <c r="J66" s="25">
        <f t="shared" si="6"/>
        <v>5</v>
      </c>
      <c r="K66" s="25">
        <f t="shared" si="7"/>
        <v>5.0451978742102082</v>
      </c>
      <c r="L66" s="25">
        <f t="shared" si="8"/>
        <v>-9.9254144612389794E-2</v>
      </c>
      <c r="N66" s="22" t="s">
        <v>121</v>
      </c>
    </row>
    <row r="67" spans="2:14">
      <c r="B67" s="12">
        <f t="shared" si="0"/>
        <v>3294</v>
      </c>
      <c r="C67" s="12">
        <f t="shared" si="1"/>
        <v>1024</v>
      </c>
      <c r="D67" s="12">
        <f t="shared" si="2"/>
        <v>1024</v>
      </c>
      <c r="E67" s="25">
        <f t="shared" si="3"/>
        <v>1</v>
      </c>
      <c r="G67" s="25">
        <f t="shared" si="4"/>
        <v>8.2459437295978191</v>
      </c>
      <c r="H67" s="25">
        <f t="shared" si="5"/>
        <v>316.02952029520293</v>
      </c>
      <c r="I67" s="25">
        <v>1.7</v>
      </c>
      <c r="J67" s="25">
        <f t="shared" si="6"/>
        <v>5</v>
      </c>
      <c r="K67" s="25">
        <f t="shared" si="7"/>
        <v>4.9459437295978184</v>
      </c>
      <c r="L67" s="25">
        <f t="shared" si="8"/>
        <v>-9.696391976860852E-2</v>
      </c>
      <c r="N67" s="22" t="s">
        <v>122</v>
      </c>
    </row>
    <row r="68" spans="2:14">
      <c r="B68" s="12">
        <f t="shared" ref="B68:B131" si="9">VALUE(MID(N68,6,SEARCH(",",N68,1)-6))</f>
        <v>3523</v>
      </c>
      <c r="C68" s="12">
        <f t="shared" ref="C68:C131" si="10">VALUE(MID($N68,FIND("*",SUBSTITUTE($N68,",","*",1),1)+1,FIND("*",SUBSTITUTE($N68,",","*",2),1)-FIND("*",SUBSTITUTE($N68,",","*",1),1)-1))</f>
        <v>1024</v>
      </c>
      <c r="D68" s="12">
        <f t="shared" ref="D68:D131" si="11">VALUE(MID($N68,FIND("*",SUBSTITUTE($N68,",","*",2),1)+1,FIND("*",SUBSTITUTE($N68,",","*",3),1)-FIND("*",SUBSTITUTE($N68,",","*",2),1)-1))</f>
        <v>1024</v>
      </c>
      <c r="E68" s="25">
        <f t="shared" ref="E68:E131" si="12">((C68/1024)*(D68/1024))</f>
        <v>1</v>
      </c>
      <c r="G68" s="25">
        <f t="shared" ref="G68:G131" si="13">-LOG(B68*0.000001,2)</f>
        <v>8.1489798098292106</v>
      </c>
      <c r="H68" s="25">
        <f t="shared" ref="H68:H131" si="14">B68*0.000001*3198/0.033333</f>
        <v>337.99999999999994</v>
      </c>
      <c r="I68" s="25">
        <v>1.7</v>
      </c>
      <c r="J68" s="25">
        <f t="shared" ref="J68:J131" si="15">LOG((C68/1024)*(D68/1024)*100/3.125,2)</f>
        <v>5</v>
      </c>
      <c r="K68" s="25">
        <f t="shared" ref="K68:K131" si="16">I68+G68-J68</f>
        <v>4.8489798098292098</v>
      </c>
      <c r="L68" s="25">
        <f t="shared" ref="L68:L131" si="17">K69-K68</f>
        <v>-9.928994810548275E-2</v>
      </c>
      <c r="N68" s="22" t="s">
        <v>123</v>
      </c>
    </row>
    <row r="69" spans="2:14">
      <c r="B69" s="12">
        <f t="shared" si="9"/>
        <v>3774</v>
      </c>
      <c r="C69" s="12">
        <f t="shared" si="10"/>
        <v>1024</v>
      </c>
      <c r="D69" s="12">
        <f t="shared" si="11"/>
        <v>1024</v>
      </c>
      <c r="E69" s="25">
        <f t="shared" si="12"/>
        <v>1</v>
      </c>
      <c r="G69" s="25">
        <f t="shared" si="13"/>
        <v>8.0496898617237278</v>
      </c>
      <c r="H69" s="25">
        <f t="shared" si="14"/>
        <v>362.08118081180811</v>
      </c>
      <c r="I69" s="25">
        <v>1.7</v>
      </c>
      <c r="J69" s="25">
        <f t="shared" si="15"/>
        <v>5</v>
      </c>
      <c r="K69" s="25">
        <f t="shared" si="16"/>
        <v>4.7496898617237271</v>
      </c>
      <c r="L69" s="25">
        <f t="shared" si="17"/>
        <v>-9.6116661012514371E-2</v>
      </c>
      <c r="N69" s="22" t="s">
        <v>124</v>
      </c>
    </row>
    <row r="70" spans="2:14">
      <c r="B70" s="12">
        <f t="shared" si="9"/>
        <v>4034</v>
      </c>
      <c r="C70" s="12">
        <f t="shared" si="10"/>
        <v>1024</v>
      </c>
      <c r="D70" s="12">
        <f t="shared" si="11"/>
        <v>1024</v>
      </c>
      <c r="E70" s="25">
        <f t="shared" si="12"/>
        <v>1</v>
      </c>
      <c r="G70" s="25">
        <f t="shared" si="13"/>
        <v>7.9535732007112125</v>
      </c>
      <c r="H70" s="25">
        <f t="shared" si="14"/>
        <v>387.02583025830251</v>
      </c>
      <c r="I70" s="25">
        <v>1.7</v>
      </c>
      <c r="J70" s="25">
        <f t="shared" si="15"/>
        <v>5</v>
      </c>
      <c r="K70" s="25">
        <f t="shared" si="16"/>
        <v>4.6535732007112127</v>
      </c>
      <c r="L70" s="25">
        <f t="shared" si="17"/>
        <v>-0.10780901166512358</v>
      </c>
      <c r="N70" s="22" t="s">
        <v>125</v>
      </c>
    </row>
    <row r="71" spans="2:14">
      <c r="B71" s="12">
        <f t="shared" si="9"/>
        <v>4347</v>
      </c>
      <c r="C71" s="12">
        <f t="shared" si="10"/>
        <v>1024</v>
      </c>
      <c r="D71" s="12">
        <f t="shared" si="11"/>
        <v>1024</v>
      </c>
      <c r="E71" s="25">
        <f t="shared" si="12"/>
        <v>1</v>
      </c>
      <c r="G71" s="25">
        <f t="shared" si="13"/>
        <v>7.845764189046089</v>
      </c>
      <c r="H71" s="25">
        <f t="shared" si="14"/>
        <v>417.05535055350555</v>
      </c>
      <c r="I71" s="25">
        <v>1.7</v>
      </c>
      <c r="J71" s="25">
        <f t="shared" si="15"/>
        <v>5</v>
      </c>
      <c r="K71" s="25">
        <f t="shared" si="16"/>
        <v>4.5457641890460891</v>
      </c>
      <c r="L71" s="25">
        <f t="shared" si="17"/>
        <v>-0.1003098592635574</v>
      </c>
      <c r="N71" s="22" t="s">
        <v>126</v>
      </c>
    </row>
    <row r="72" spans="2:14">
      <c r="B72" s="12">
        <f t="shared" si="9"/>
        <v>4660</v>
      </c>
      <c r="C72" s="12">
        <f t="shared" si="10"/>
        <v>1024</v>
      </c>
      <c r="D72" s="12">
        <f t="shared" si="11"/>
        <v>1024</v>
      </c>
      <c r="E72" s="25">
        <f t="shared" si="12"/>
        <v>1</v>
      </c>
      <c r="G72" s="25">
        <f t="shared" si="13"/>
        <v>7.7454543297825316</v>
      </c>
      <c r="H72" s="25">
        <f t="shared" si="14"/>
        <v>447.08487084870848</v>
      </c>
      <c r="I72" s="25">
        <v>1.7</v>
      </c>
      <c r="J72" s="25">
        <f t="shared" si="15"/>
        <v>5</v>
      </c>
      <c r="K72" s="25">
        <f t="shared" si="16"/>
        <v>4.4454543297825317</v>
      </c>
      <c r="L72" s="25">
        <f t="shared" si="17"/>
        <v>-9.6684619141889527E-2</v>
      </c>
      <c r="N72" s="22" t="s">
        <v>127</v>
      </c>
    </row>
    <row r="73" spans="2:14">
      <c r="B73" s="12">
        <f t="shared" si="9"/>
        <v>4983</v>
      </c>
      <c r="C73" s="12">
        <f t="shared" si="10"/>
        <v>1024</v>
      </c>
      <c r="D73" s="12">
        <f t="shared" si="11"/>
        <v>1024</v>
      </c>
      <c r="E73" s="25">
        <f t="shared" si="12"/>
        <v>1</v>
      </c>
      <c r="G73" s="25">
        <f t="shared" si="13"/>
        <v>7.648769710640642</v>
      </c>
      <c r="H73" s="25">
        <f t="shared" si="14"/>
        <v>478.07380073800732</v>
      </c>
      <c r="I73" s="25">
        <v>1.7</v>
      </c>
      <c r="J73" s="25">
        <f t="shared" si="15"/>
        <v>5</v>
      </c>
      <c r="K73" s="25">
        <f t="shared" si="16"/>
        <v>4.3487697106406422</v>
      </c>
      <c r="L73" s="25">
        <f t="shared" si="17"/>
        <v>-9.9014437304782987E-2</v>
      </c>
      <c r="N73" s="22" t="s">
        <v>128</v>
      </c>
    </row>
    <row r="74" spans="2:14">
      <c r="B74" s="12">
        <f t="shared" si="9"/>
        <v>5337</v>
      </c>
      <c r="C74" s="12">
        <f t="shared" si="10"/>
        <v>1024</v>
      </c>
      <c r="D74" s="12">
        <f t="shared" si="11"/>
        <v>1024</v>
      </c>
      <c r="E74" s="25">
        <f t="shared" si="12"/>
        <v>1</v>
      </c>
      <c r="G74" s="25">
        <f t="shared" si="13"/>
        <v>7.5497552733358591</v>
      </c>
      <c r="H74" s="25">
        <f t="shared" si="14"/>
        <v>512.03690036900366</v>
      </c>
      <c r="I74" s="25">
        <v>1.7</v>
      </c>
      <c r="J74" s="25">
        <f t="shared" si="15"/>
        <v>5</v>
      </c>
      <c r="K74" s="25">
        <f t="shared" si="16"/>
        <v>4.2497552733358592</v>
      </c>
      <c r="L74" s="25">
        <f t="shared" si="17"/>
        <v>-9.7966968040784863E-2</v>
      </c>
      <c r="N74" s="22" t="s">
        <v>129</v>
      </c>
    </row>
    <row r="75" spans="2:14">
      <c r="B75" s="12">
        <f t="shared" si="9"/>
        <v>5712</v>
      </c>
      <c r="C75" s="12">
        <f t="shared" si="10"/>
        <v>1024</v>
      </c>
      <c r="D75" s="12">
        <f t="shared" si="11"/>
        <v>1024</v>
      </c>
      <c r="E75" s="25">
        <f t="shared" si="12"/>
        <v>1</v>
      </c>
      <c r="G75" s="25">
        <f t="shared" si="13"/>
        <v>7.4517883052950751</v>
      </c>
      <c r="H75" s="25">
        <f t="shared" si="14"/>
        <v>548.01476014760146</v>
      </c>
      <c r="I75" s="25">
        <v>1.7</v>
      </c>
      <c r="J75" s="25">
        <f t="shared" si="15"/>
        <v>5</v>
      </c>
      <c r="K75" s="25">
        <f t="shared" si="16"/>
        <v>4.1517883052950744</v>
      </c>
      <c r="L75" s="25">
        <f t="shared" si="17"/>
        <v>-9.9299919805657666E-2</v>
      </c>
      <c r="N75" s="22" t="s">
        <v>130</v>
      </c>
    </row>
    <row r="76" spans="2:14">
      <c r="B76" s="12">
        <f t="shared" si="9"/>
        <v>6119</v>
      </c>
      <c r="C76" s="12">
        <f t="shared" si="10"/>
        <v>1024</v>
      </c>
      <c r="D76" s="12">
        <f t="shared" si="11"/>
        <v>1024</v>
      </c>
      <c r="E76" s="25">
        <f t="shared" si="12"/>
        <v>1</v>
      </c>
      <c r="G76" s="25">
        <f t="shared" si="13"/>
        <v>7.3524883854894165</v>
      </c>
      <c r="H76" s="25">
        <f t="shared" si="14"/>
        <v>587.06273062730611</v>
      </c>
      <c r="I76" s="25">
        <v>1.7</v>
      </c>
      <c r="J76" s="25">
        <f t="shared" si="15"/>
        <v>5</v>
      </c>
      <c r="K76" s="25">
        <f t="shared" si="16"/>
        <v>4.0524883854894167</v>
      </c>
      <c r="L76" s="25">
        <f t="shared" si="17"/>
        <v>-9.9739995689271055E-2</v>
      </c>
      <c r="N76" s="22" t="s">
        <v>131</v>
      </c>
    </row>
    <row r="77" spans="2:14">
      <c r="B77" s="12">
        <f t="shared" si="9"/>
        <v>6557</v>
      </c>
      <c r="C77" s="12">
        <f t="shared" si="10"/>
        <v>1024</v>
      </c>
      <c r="D77" s="12">
        <f t="shared" si="11"/>
        <v>1024</v>
      </c>
      <c r="E77" s="25">
        <f t="shared" si="12"/>
        <v>1</v>
      </c>
      <c r="G77" s="25">
        <f t="shared" si="13"/>
        <v>7.2527483898001464</v>
      </c>
      <c r="H77" s="25">
        <f t="shared" si="14"/>
        <v>629.08487084870831</v>
      </c>
      <c r="I77" s="25">
        <v>1.7</v>
      </c>
      <c r="J77" s="25">
        <f t="shared" si="15"/>
        <v>5</v>
      </c>
      <c r="K77" s="25">
        <f t="shared" si="16"/>
        <v>3.9527483898001456</v>
      </c>
      <c r="L77" s="25">
        <f t="shared" si="17"/>
        <v>-9.9667681698342392E-2</v>
      </c>
      <c r="N77" s="22" t="s">
        <v>132</v>
      </c>
    </row>
    <row r="78" spans="2:14">
      <c r="B78" s="12">
        <f t="shared" si="9"/>
        <v>7026</v>
      </c>
      <c r="C78" s="12">
        <f t="shared" si="10"/>
        <v>1024</v>
      </c>
      <c r="D78" s="12">
        <f t="shared" si="11"/>
        <v>1024</v>
      </c>
      <c r="E78" s="25">
        <f t="shared" si="12"/>
        <v>1</v>
      </c>
      <c r="G78" s="25">
        <f t="shared" si="13"/>
        <v>7.1530807081018031</v>
      </c>
      <c r="H78" s="25">
        <f t="shared" si="14"/>
        <v>674.08118081180805</v>
      </c>
      <c r="I78" s="25">
        <v>1.7</v>
      </c>
      <c r="J78" s="25">
        <f t="shared" si="15"/>
        <v>5</v>
      </c>
      <c r="K78" s="25">
        <f t="shared" si="16"/>
        <v>3.8530807081018033</v>
      </c>
      <c r="L78" s="25">
        <f t="shared" si="17"/>
        <v>-9.9179712845510082E-2</v>
      </c>
      <c r="N78" s="22" t="s">
        <v>133</v>
      </c>
    </row>
    <row r="79" spans="2:14">
      <c r="B79" s="12">
        <f t="shared" si="9"/>
        <v>7526</v>
      </c>
      <c r="C79" s="12">
        <f t="shared" si="10"/>
        <v>1024</v>
      </c>
      <c r="D79" s="12">
        <f t="shared" si="11"/>
        <v>1024</v>
      </c>
      <c r="E79" s="25">
        <f t="shared" si="12"/>
        <v>1</v>
      </c>
      <c r="G79" s="25">
        <f t="shared" si="13"/>
        <v>7.053900995256293</v>
      </c>
      <c r="H79" s="25">
        <f t="shared" si="14"/>
        <v>722.05166051660512</v>
      </c>
      <c r="I79" s="25">
        <v>1.7</v>
      </c>
      <c r="J79" s="25">
        <f t="shared" si="15"/>
        <v>5</v>
      </c>
      <c r="K79" s="25">
        <f t="shared" si="16"/>
        <v>3.7539009952562932</v>
      </c>
      <c r="L79" s="25">
        <f t="shared" si="17"/>
        <v>-0.10781862503675477</v>
      </c>
      <c r="N79" s="22" t="s">
        <v>134</v>
      </c>
    </row>
    <row r="80" spans="2:14">
      <c r="B80" s="12">
        <f t="shared" si="9"/>
        <v>8110</v>
      </c>
      <c r="C80" s="12">
        <f t="shared" si="10"/>
        <v>1024</v>
      </c>
      <c r="D80" s="12">
        <f t="shared" si="11"/>
        <v>1024</v>
      </c>
      <c r="E80" s="25">
        <f t="shared" si="12"/>
        <v>1</v>
      </c>
      <c r="G80" s="25">
        <f t="shared" si="13"/>
        <v>6.9460823702195391</v>
      </c>
      <c r="H80" s="25">
        <f t="shared" si="14"/>
        <v>778.08118081180805</v>
      </c>
      <c r="I80" s="25">
        <v>1.7</v>
      </c>
      <c r="J80" s="25">
        <f t="shared" si="15"/>
        <v>5</v>
      </c>
      <c r="K80" s="25">
        <f t="shared" si="16"/>
        <v>3.6460823702195384</v>
      </c>
      <c r="L80" s="25">
        <f t="shared" si="17"/>
        <v>-9.3550589695971631E-2</v>
      </c>
      <c r="N80" s="22" t="s">
        <v>135</v>
      </c>
    </row>
    <row r="81" spans="2:14">
      <c r="B81" s="12">
        <f t="shared" si="9"/>
        <v>8328</v>
      </c>
      <c r="C81" s="12">
        <f t="shared" si="10"/>
        <v>1024</v>
      </c>
      <c r="D81" s="12">
        <f t="shared" si="11"/>
        <v>1064</v>
      </c>
      <c r="E81" s="25">
        <f t="shared" si="12"/>
        <v>1.0390625</v>
      </c>
      <c r="G81" s="25">
        <f t="shared" si="13"/>
        <v>6.9078142160247564</v>
      </c>
      <c r="H81" s="25">
        <f t="shared" si="14"/>
        <v>798.99630996309963</v>
      </c>
      <c r="I81" s="25">
        <v>1.7</v>
      </c>
      <c r="J81" s="25">
        <f t="shared" si="15"/>
        <v>5.0552824355011898</v>
      </c>
      <c r="K81" s="25">
        <f t="shared" si="16"/>
        <v>3.5525317805235668</v>
      </c>
      <c r="L81" s="25">
        <f t="shared" si="17"/>
        <v>-0.10458890127720011</v>
      </c>
      <c r="N81" s="22" t="s">
        <v>136</v>
      </c>
    </row>
    <row r="82" spans="2:14">
      <c r="B82" s="12">
        <f t="shared" si="9"/>
        <v>8328</v>
      </c>
      <c r="C82" s="12">
        <f t="shared" si="10"/>
        <v>1024</v>
      </c>
      <c r="D82" s="12">
        <f t="shared" si="11"/>
        <v>1144</v>
      </c>
      <c r="E82" s="25">
        <f t="shared" si="12"/>
        <v>1.1171875</v>
      </c>
      <c r="G82" s="25">
        <f t="shared" si="13"/>
        <v>6.9078142160247564</v>
      </c>
      <c r="H82" s="25">
        <f t="shared" si="14"/>
        <v>798.99630996309963</v>
      </c>
      <c r="I82" s="25">
        <v>1.7</v>
      </c>
      <c r="J82" s="25">
        <f t="shared" si="15"/>
        <v>5.1598713367783899</v>
      </c>
      <c r="K82" s="25">
        <f t="shared" si="16"/>
        <v>3.4479428792463667</v>
      </c>
      <c r="L82" s="25">
        <f t="shared" si="17"/>
        <v>-9.7516505914262197E-2</v>
      </c>
      <c r="N82" s="22" t="s">
        <v>137</v>
      </c>
    </row>
    <row r="83" spans="2:14">
      <c r="B83" s="12">
        <f t="shared" si="9"/>
        <v>8328</v>
      </c>
      <c r="C83" s="12">
        <f t="shared" si="10"/>
        <v>1152</v>
      </c>
      <c r="D83" s="12">
        <f t="shared" si="11"/>
        <v>1088</v>
      </c>
      <c r="E83" s="25">
        <f t="shared" si="12"/>
        <v>1.1953125</v>
      </c>
      <c r="G83" s="25">
        <f t="shared" si="13"/>
        <v>6.9078142160247564</v>
      </c>
      <c r="H83" s="25">
        <f t="shared" si="14"/>
        <v>798.99630996309963</v>
      </c>
      <c r="I83" s="25">
        <v>1.7</v>
      </c>
      <c r="J83" s="25">
        <f t="shared" si="15"/>
        <v>5.2573878426926521</v>
      </c>
      <c r="K83" s="25">
        <f t="shared" si="16"/>
        <v>3.3504263733321045</v>
      </c>
      <c r="L83" s="25">
        <f t="shared" si="17"/>
        <v>-9.9339214771977602E-2</v>
      </c>
      <c r="N83" s="22" t="s">
        <v>138</v>
      </c>
    </row>
    <row r="84" spans="2:14">
      <c r="B84" s="12">
        <f t="shared" si="9"/>
        <v>8328</v>
      </c>
      <c r="C84" s="12">
        <f t="shared" si="10"/>
        <v>1280</v>
      </c>
      <c r="D84" s="12">
        <f t="shared" si="11"/>
        <v>1049</v>
      </c>
      <c r="E84" s="25">
        <f t="shared" si="12"/>
        <v>1.280517578125</v>
      </c>
      <c r="G84" s="25">
        <f t="shared" si="13"/>
        <v>6.9078142160247564</v>
      </c>
      <c r="H84" s="25">
        <f t="shared" si="14"/>
        <v>798.99630996309963</v>
      </c>
      <c r="I84" s="25">
        <v>1.7</v>
      </c>
      <c r="J84" s="25">
        <f t="shared" si="15"/>
        <v>5.3567270574646297</v>
      </c>
      <c r="K84" s="25">
        <f t="shared" si="16"/>
        <v>3.2510871585601269</v>
      </c>
      <c r="L84" s="25">
        <f t="shared" si="17"/>
        <v>-0.10973182806663662</v>
      </c>
      <c r="N84" s="22" t="s">
        <v>139</v>
      </c>
    </row>
    <row r="85" spans="2:14">
      <c r="B85" s="12">
        <f t="shared" si="9"/>
        <v>8328</v>
      </c>
      <c r="C85" s="12">
        <f t="shared" si="10"/>
        <v>1408</v>
      </c>
      <c r="D85" s="12">
        <f t="shared" si="11"/>
        <v>1029</v>
      </c>
      <c r="E85" s="25">
        <f t="shared" si="12"/>
        <v>1.3817138671875</v>
      </c>
      <c r="G85" s="25">
        <f t="shared" si="13"/>
        <v>6.9078142160247564</v>
      </c>
      <c r="H85" s="25">
        <f t="shared" si="14"/>
        <v>798.99630996309963</v>
      </c>
      <c r="I85" s="25">
        <v>1.7</v>
      </c>
      <c r="J85" s="25">
        <f t="shared" si="15"/>
        <v>5.4664588855312664</v>
      </c>
      <c r="K85" s="25">
        <f t="shared" si="16"/>
        <v>3.1413553304934902</v>
      </c>
      <c r="L85" s="25">
        <f t="shared" si="17"/>
        <v>-8.70504187779364E-2</v>
      </c>
      <c r="N85" s="22" t="s">
        <v>140</v>
      </c>
    </row>
    <row r="86" spans="2:14">
      <c r="B86" s="12">
        <f t="shared" si="9"/>
        <v>8328</v>
      </c>
      <c r="C86" s="12">
        <f t="shared" si="10"/>
        <v>1408</v>
      </c>
      <c r="D86" s="12">
        <f t="shared" si="11"/>
        <v>1093</v>
      </c>
      <c r="E86" s="25">
        <f t="shared" si="12"/>
        <v>1.4676513671875</v>
      </c>
      <c r="G86" s="25">
        <f t="shared" si="13"/>
        <v>6.9078142160247564</v>
      </c>
      <c r="H86" s="25">
        <f t="shared" si="14"/>
        <v>798.99630996309963</v>
      </c>
      <c r="I86" s="25">
        <v>1.7</v>
      </c>
      <c r="J86" s="25">
        <f t="shared" si="15"/>
        <v>5.5535093043092028</v>
      </c>
      <c r="K86" s="25">
        <f t="shared" si="16"/>
        <v>3.0543049117155538</v>
      </c>
      <c r="L86" s="25">
        <f t="shared" si="17"/>
        <v>-0.1042557309561607</v>
      </c>
      <c r="N86" s="22" t="s">
        <v>141</v>
      </c>
    </row>
    <row r="87" spans="2:14">
      <c r="B87" s="12">
        <f t="shared" si="9"/>
        <v>8328</v>
      </c>
      <c r="C87" s="12">
        <f t="shared" si="10"/>
        <v>1536</v>
      </c>
      <c r="D87" s="12">
        <f t="shared" si="11"/>
        <v>1077</v>
      </c>
      <c r="E87" s="25">
        <f t="shared" si="12"/>
        <v>1.57763671875</v>
      </c>
      <c r="G87" s="25">
        <f t="shared" si="13"/>
        <v>6.9078142160247564</v>
      </c>
      <c r="H87" s="25">
        <f t="shared" si="14"/>
        <v>798.99630996309963</v>
      </c>
      <c r="I87" s="25">
        <v>1.7</v>
      </c>
      <c r="J87" s="25">
        <f t="shared" si="15"/>
        <v>5.6577650352653635</v>
      </c>
      <c r="K87" s="25">
        <f t="shared" si="16"/>
        <v>2.9500491807593932</v>
      </c>
      <c r="L87" s="25">
        <f t="shared" si="17"/>
        <v>-9.6600564406833733E-2</v>
      </c>
      <c r="N87" s="22" t="s">
        <v>142</v>
      </c>
    </row>
    <row r="88" spans="2:14">
      <c r="B88" s="12">
        <f t="shared" si="9"/>
        <v>8328</v>
      </c>
      <c r="C88" s="12">
        <f t="shared" si="10"/>
        <v>1664</v>
      </c>
      <c r="D88" s="12">
        <f t="shared" si="11"/>
        <v>1063</v>
      </c>
      <c r="E88" s="25">
        <f t="shared" si="12"/>
        <v>1.6868896484375</v>
      </c>
      <c r="G88" s="25">
        <f t="shared" si="13"/>
        <v>6.9078142160247564</v>
      </c>
      <c r="H88" s="25">
        <f t="shared" si="14"/>
        <v>798.99630996309963</v>
      </c>
      <c r="I88" s="25">
        <v>1.7</v>
      </c>
      <c r="J88" s="25">
        <f t="shared" si="15"/>
        <v>5.7543655996721972</v>
      </c>
      <c r="K88" s="25">
        <f t="shared" si="16"/>
        <v>2.8534486163525594</v>
      </c>
      <c r="L88" s="25">
        <f t="shared" si="17"/>
        <v>-0.10283787183596882</v>
      </c>
      <c r="N88" s="22" t="s">
        <v>143</v>
      </c>
    </row>
    <row r="89" spans="2:14">
      <c r="B89" s="12">
        <f t="shared" si="9"/>
        <v>8328</v>
      </c>
      <c r="C89" s="12">
        <f t="shared" si="10"/>
        <v>1792</v>
      </c>
      <c r="D89" s="12">
        <f t="shared" si="11"/>
        <v>1060</v>
      </c>
      <c r="E89" s="25">
        <f t="shared" si="12"/>
        <v>1.8115234375</v>
      </c>
      <c r="G89" s="25">
        <f t="shared" si="13"/>
        <v>6.9078142160247564</v>
      </c>
      <c r="H89" s="25">
        <f t="shared" si="14"/>
        <v>798.99630996309963</v>
      </c>
      <c r="I89" s="25">
        <v>1.7</v>
      </c>
      <c r="J89" s="25">
        <f t="shared" si="15"/>
        <v>5.857203471508166</v>
      </c>
      <c r="K89" s="25">
        <f t="shared" si="16"/>
        <v>2.7506107445165906</v>
      </c>
      <c r="L89" s="25">
        <f t="shared" si="17"/>
        <v>-9.6811036214377921E-2</v>
      </c>
      <c r="N89" s="22" t="s">
        <v>144</v>
      </c>
    </row>
    <row r="90" spans="2:14">
      <c r="B90" s="12">
        <f t="shared" si="9"/>
        <v>8328</v>
      </c>
      <c r="C90" s="12">
        <f t="shared" si="10"/>
        <v>1920</v>
      </c>
      <c r="D90" s="12">
        <f t="shared" si="11"/>
        <v>1058</v>
      </c>
      <c r="E90" s="25">
        <f t="shared" si="12"/>
        <v>1.937255859375</v>
      </c>
      <c r="G90" s="25">
        <f t="shared" si="13"/>
        <v>6.9078142160247564</v>
      </c>
      <c r="H90" s="25">
        <f t="shared" si="14"/>
        <v>798.99630996309963</v>
      </c>
      <c r="I90" s="25">
        <v>1.7</v>
      </c>
      <c r="J90" s="25">
        <f t="shared" si="15"/>
        <v>5.9540145077225439</v>
      </c>
      <c r="K90" s="25">
        <f t="shared" si="16"/>
        <v>2.6537997083022127</v>
      </c>
      <c r="L90" s="25">
        <f t="shared" si="17"/>
        <v>-0.10126792777864591</v>
      </c>
      <c r="N90" s="22" t="s">
        <v>145</v>
      </c>
    </row>
    <row r="91" spans="2:14">
      <c r="B91" s="12">
        <f t="shared" si="9"/>
        <v>8328</v>
      </c>
      <c r="C91" s="12">
        <f t="shared" si="10"/>
        <v>2048</v>
      </c>
      <c r="D91" s="12">
        <f t="shared" si="11"/>
        <v>1064</v>
      </c>
      <c r="E91" s="25">
        <f t="shared" si="12"/>
        <v>2.078125</v>
      </c>
      <c r="G91" s="25">
        <f t="shared" si="13"/>
        <v>6.9078142160247564</v>
      </c>
      <c r="H91" s="25">
        <f t="shared" si="14"/>
        <v>798.99630996309963</v>
      </c>
      <c r="I91" s="25">
        <v>1.7</v>
      </c>
      <c r="J91" s="25">
        <f t="shared" si="15"/>
        <v>6.0552824355011898</v>
      </c>
      <c r="K91" s="25">
        <f t="shared" si="16"/>
        <v>2.5525317805235668</v>
      </c>
      <c r="L91" s="25">
        <f t="shared" si="17"/>
        <v>-9.8269596206922216E-2</v>
      </c>
      <c r="N91" s="22" t="s">
        <v>146</v>
      </c>
    </row>
    <row r="92" spans="2:14">
      <c r="B92" s="12">
        <f t="shared" si="9"/>
        <v>8328</v>
      </c>
      <c r="C92" s="12">
        <f t="shared" si="10"/>
        <v>2176</v>
      </c>
      <c r="D92" s="12">
        <f t="shared" si="11"/>
        <v>1072</v>
      </c>
      <c r="E92" s="25">
        <f t="shared" si="12"/>
        <v>2.224609375</v>
      </c>
      <c r="G92" s="25">
        <f t="shared" si="13"/>
        <v>6.9078142160247564</v>
      </c>
      <c r="H92" s="25">
        <f t="shared" si="14"/>
        <v>798.99630996309963</v>
      </c>
      <c r="I92" s="25">
        <v>1.7</v>
      </c>
      <c r="J92" s="25">
        <f t="shared" si="15"/>
        <v>6.153552031708112</v>
      </c>
      <c r="K92" s="25">
        <f t="shared" si="16"/>
        <v>2.4542621843166446</v>
      </c>
      <c r="L92" s="25">
        <f t="shared" si="17"/>
        <v>-0.1028041038060552</v>
      </c>
      <c r="N92" s="22" t="s">
        <v>147</v>
      </c>
    </row>
    <row r="93" spans="2:14">
      <c r="B93" s="12">
        <f t="shared" si="9"/>
        <v>8328</v>
      </c>
      <c r="C93" s="12">
        <f t="shared" si="10"/>
        <v>2432</v>
      </c>
      <c r="D93" s="12">
        <f t="shared" si="11"/>
        <v>1030</v>
      </c>
      <c r="E93" s="25">
        <f t="shared" si="12"/>
        <v>2.388916015625</v>
      </c>
      <c r="G93" s="25">
        <f t="shared" si="13"/>
        <v>6.9078142160247564</v>
      </c>
      <c r="H93" s="25">
        <f t="shared" si="14"/>
        <v>798.99630996309963</v>
      </c>
      <c r="I93" s="25">
        <v>1.7</v>
      </c>
      <c r="J93" s="25">
        <f t="shared" si="15"/>
        <v>6.2563561355141672</v>
      </c>
      <c r="K93" s="25">
        <f t="shared" si="16"/>
        <v>2.3514580805105894</v>
      </c>
      <c r="L93" s="25">
        <f t="shared" si="17"/>
        <v>-0.10996607873164788</v>
      </c>
      <c r="N93" s="22" t="s">
        <v>148</v>
      </c>
    </row>
    <row r="94" spans="2:14">
      <c r="B94" s="12">
        <f t="shared" si="9"/>
        <v>8328</v>
      </c>
      <c r="C94" s="12">
        <f t="shared" si="10"/>
        <v>2560</v>
      </c>
      <c r="D94" s="12">
        <f t="shared" si="11"/>
        <v>1056</v>
      </c>
      <c r="E94" s="25">
        <f t="shared" si="12"/>
        <v>2.578125</v>
      </c>
      <c r="G94" s="25">
        <f t="shared" si="13"/>
        <v>6.9078142160247564</v>
      </c>
      <c r="H94" s="25">
        <f t="shared" si="14"/>
        <v>798.99630996309963</v>
      </c>
      <c r="I94" s="25">
        <v>1.7</v>
      </c>
      <c r="J94" s="25">
        <f t="shared" si="15"/>
        <v>6.3663222142458151</v>
      </c>
      <c r="K94" s="25">
        <f t="shared" si="16"/>
        <v>2.2414920017789415</v>
      </c>
      <c r="L94" s="25">
        <f t="shared" si="17"/>
        <v>-8.8041346253435293E-2</v>
      </c>
      <c r="N94" s="22" t="s">
        <v>149</v>
      </c>
    </row>
    <row r="95" spans="2:14">
      <c r="B95" s="12">
        <f t="shared" si="9"/>
        <v>8328</v>
      </c>
      <c r="C95" s="12">
        <f t="shared" si="10"/>
        <v>2688</v>
      </c>
      <c r="D95" s="12">
        <f t="shared" si="11"/>
        <v>1069</v>
      </c>
      <c r="E95" s="25">
        <f t="shared" si="12"/>
        <v>2.7403564453125</v>
      </c>
      <c r="G95" s="25">
        <f t="shared" si="13"/>
        <v>6.9078142160247564</v>
      </c>
      <c r="H95" s="25">
        <f t="shared" si="14"/>
        <v>798.99630996309963</v>
      </c>
      <c r="I95" s="25">
        <v>1.7</v>
      </c>
      <c r="J95" s="25">
        <f t="shared" si="15"/>
        <v>6.4543635604992504</v>
      </c>
      <c r="K95" s="25">
        <f t="shared" si="16"/>
        <v>2.1534506555255062</v>
      </c>
      <c r="L95" s="25">
        <f t="shared" si="17"/>
        <v>-9.98655318047037E-2</v>
      </c>
      <c r="N95" s="22" t="s">
        <v>150</v>
      </c>
    </row>
    <row r="96" spans="2:14">
      <c r="B96" s="12">
        <f t="shared" si="9"/>
        <v>8328</v>
      </c>
      <c r="C96" s="12">
        <f t="shared" si="10"/>
        <v>2944</v>
      </c>
      <c r="D96" s="12">
        <f t="shared" si="11"/>
        <v>1046</v>
      </c>
      <c r="E96" s="25">
        <f t="shared" si="12"/>
        <v>2.936767578125</v>
      </c>
      <c r="G96" s="25">
        <f t="shared" si="13"/>
        <v>6.9078142160247564</v>
      </c>
      <c r="H96" s="25">
        <f t="shared" si="14"/>
        <v>798.99630996309963</v>
      </c>
      <c r="I96" s="25">
        <v>1.7</v>
      </c>
      <c r="J96" s="25">
        <f t="shared" si="15"/>
        <v>6.5542290923039541</v>
      </c>
      <c r="K96" s="25">
        <f t="shared" si="16"/>
        <v>2.0535851237208025</v>
      </c>
      <c r="L96" s="25">
        <f t="shared" si="17"/>
        <v>-0.11117066627253713</v>
      </c>
      <c r="N96" s="22" t="s">
        <v>151</v>
      </c>
    </row>
    <row r="97" spans="2:14">
      <c r="B97" s="12">
        <f t="shared" si="9"/>
        <v>16667</v>
      </c>
      <c r="C97" s="12">
        <f t="shared" si="10"/>
        <v>1536</v>
      </c>
      <c r="D97" s="12">
        <f t="shared" si="11"/>
        <v>1082</v>
      </c>
      <c r="E97" s="25">
        <f t="shared" si="12"/>
        <v>1.5849609375</v>
      </c>
      <c r="G97" s="25">
        <f t="shared" si="13"/>
        <v>5.906861741996237</v>
      </c>
      <c r="H97" s="25">
        <f t="shared" si="14"/>
        <v>1599.0479704797044</v>
      </c>
      <c r="I97" s="25">
        <v>1.7</v>
      </c>
      <c r="J97" s="25">
        <f t="shared" si="15"/>
        <v>5.6644472845479719</v>
      </c>
      <c r="K97" s="25">
        <f t="shared" si="16"/>
        <v>1.9424144574482654</v>
      </c>
      <c r="L97" s="25">
        <f t="shared" si="17"/>
        <v>-8.9918315124225323E-2</v>
      </c>
      <c r="N97" s="22" t="s">
        <v>152</v>
      </c>
    </row>
    <row r="98" spans="2:14">
      <c r="B98" s="12">
        <f t="shared" si="9"/>
        <v>16667</v>
      </c>
      <c r="C98" s="12">
        <f t="shared" si="10"/>
        <v>1664</v>
      </c>
      <c r="D98" s="12">
        <f t="shared" si="11"/>
        <v>1063</v>
      </c>
      <c r="E98" s="25">
        <f t="shared" si="12"/>
        <v>1.6868896484375</v>
      </c>
      <c r="G98" s="25">
        <f t="shared" si="13"/>
        <v>5.906861741996237</v>
      </c>
      <c r="H98" s="25">
        <f t="shared" si="14"/>
        <v>1599.0479704797044</v>
      </c>
      <c r="I98" s="25">
        <v>1.7</v>
      </c>
      <c r="J98" s="25">
        <f t="shared" si="15"/>
        <v>5.7543655996721972</v>
      </c>
      <c r="K98" s="25">
        <f t="shared" si="16"/>
        <v>1.85249614232404</v>
      </c>
      <c r="L98" s="25">
        <f t="shared" si="17"/>
        <v>-0.10962703749860747</v>
      </c>
      <c r="N98" s="22" t="s">
        <v>153</v>
      </c>
    </row>
    <row r="99" spans="2:14">
      <c r="B99" s="12">
        <f t="shared" si="9"/>
        <v>16667</v>
      </c>
      <c r="C99" s="12">
        <f t="shared" si="10"/>
        <v>1792</v>
      </c>
      <c r="D99" s="12">
        <f t="shared" si="11"/>
        <v>1065</v>
      </c>
      <c r="E99" s="25">
        <f t="shared" si="12"/>
        <v>1.820068359375</v>
      </c>
      <c r="G99" s="25">
        <f t="shared" si="13"/>
        <v>5.906861741996237</v>
      </c>
      <c r="H99" s="25">
        <f t="shared" si="14"/>
        <v>1599.0479704797044</v>
      </c>
      <c r="I99" s="25">
        <v>1.7</v>
      </c>
      <c r="J99" s="25">
        <f t="shared" si="15"/>
        <v>5.8639926371708047</v>
      </c>
      <c r="K99" s="25">
        <f t="shared" si="16"/>
        <v>1.7428691048254326</v>
      </c>
      <c r="L99" s="25">
        <f t="shared" si="17"/>
        <v>-9.0021870551739269E-2</v>
      </c>
      <c r="N99" s="22" t="s">
        <v>154</v>
      </c>
    </row>
    <row r="100" spans="2:14">
      <c r="B100" s="12">
        <f t="shared" si="9"/>
        <v>16667</v>
      </c>
      <c r="C100" s="12">
        <f t="shared" si="10"/>
        <v>1920</v>
      </c>
      <c r="D100" s="12">
        <f t="shared" si="11"/>
        <v>1058</v>
      </c>
      <c r="E100" s="25">
        <f t="shared" si="12"/>
        <v>1.937255859375</v>
      </c>
      <c r="G100" s="25">
        <f t="shared" si="13"/>
        <v>5.906861741996237</v>
      </c>
      <c r="H100" s="25">
        <f t="shared" si="14"/>
        <v>1599.0479704797044</v>
      </c>
      <c r="I100" s="25">
        <v>1.7</v>
      </c>
      <c r="J100" s="25">
        <f t="shared" si="15"/>
        <v>5.9540145077225439</v>
      </c>
      <c r="K100" s="25">
        <f t="shared" si="16"/>
        <v>1.6528472342736933</v>
      </c>
      <c r="L100" s="25">
        <f t="shared" si="17"/>
        <v>-0.10126792777864591</v>
      </c>
      <c r="N100" s="22" t="s">
        <v>155</v>
      </c>
    </row>
    <row r="101" spans="2:14">
      <c r="B101" s="12">
        <f t="shared" si="9"/>
        <v>16667</v>
      </c>
      <c r="C101" s="12">
        <f t="shared" si="10"/>
        <v>2048</v>
      </c>
      <c r="D101" s="12">
        <f t="shared" si="11"/>
        <v>1064</v>
      </c>
      <c r="E101" s="25">
        <f t="shared" si="12"/>
        <v>2.078125</v>
      </c>
      <c r="G101" s="25">
        <f t="shared" si="13"/>
        <v>5.906861741996237</v>
      </c>
      <c r="H101" s="25">
        <f t="shared" si="14"/>
        <v>1599.0479704797044</v>
      </c>
      <c r="I101" s="25">
        <v>1.7</v>
      </c>
      <c r="J101" s="25">
        <f t="shared" si="15"/>
        <v>6.0552824355011898</v>
      </c>
      <c r="K101" s="25">
        <f t="shared" si="16"/>
        <v>1.5515793064950474</v>
      </c>
      <c r="L101" s="25">
        <f t="shared" si="17"/>
        <v>-9.8269596206922216E-2</v>
      </c>
      <c r="N101" s="22" t="s">
        <v>156</v>
      </c>
    </row>
    <row r="102" spans="2:14">
      <c r="B102" s="12">
        <f t="shared" si="9"/>
        <v>16667</v>
      </c>
      <c r="C102" s="12">
        <f t="shared" si="10"/>
        <v>2176</v>
      </c>
      <c r="D102" s="12">
        <f t="shared" si="11"/>
        <v>1072</v>
      </c>
      <c r="E102" s="25">
        <f t="shared" si="12"/>
        <v>2.224609375</v>
      </c>
      <c r="G102" s="25">
        <f t="shared" si="13"/>
        <v>5.906861741996237</v>
      </c>
      <c r="H102" s="25">
        <f t="shared" si="14"/>
        <v>1599.0479704797044</v>
      </c>
      <c r="I102" s="25">
        <v>1.7</v>
      </c>
      <c r="J102" s="25">
        <f t="shared" si="15"/>
        <v>6.153552031708112</v>
      </c>
      <c r="K102" s="25">
        <f t="shared" si="16"/>
        <v>1.4533097102881252</v>
      </c>
      <c r="L102" s="25">
        <f t="shared" si="17"/>
        <v>-0.10839595205040808</v>
      </c>
      <c r="N102" s="22" t="s">
        <v>157</v>
      </c>
    </row>
    <row r="103" spans="2:14">
      <c r="B103" s="12">
        <f t="shared" si="9"/>
        <v>16667</v>
      </c>
      <c r="C103" s="12">
        <f t="shared" si="10"/>
        <v>2432</v>
      </c>
      <c r="D103" s="12">
        <f t="shared" si="11"/>
        <v>1034</v>
      </c>
      <c r="E103" s="25">
        <f t="shared" si="12"/>
        <v>2.398193359375</v>
      </c>
      <c r="G103" s="25">
        <f t="shared" si="13"/>
        <v>5.906861741996237</v>
      </c>
      <c r="H103" s="25">
        <f t="shared" si="14"/>
        <v>1599.0479704797044</v>
      </c>
      <c r="I103" s="25">
        <v>1.7</v>
      </c>
      <c r="J103" s="25">
        <f t="shared" si="15"/>
        <v>6.2619479837585201</v>
      </c>
      <c r="K103" s="25">
        <f t="shared" si="16"/>
        <v>1.3449137582377171</v>
      </c>
      <c r="L103" s="25">
        <f t="shared" si="17"/>
        <v>-9.4779073706110495E-2</v>
      </c>
      <c r="N103" s="22" t="s">
        <v>158</v>
      </c>
    </row>
    <row r="104" spans="2:14">
      <c r="B104" s="12">
        <f t="shared" si="9"/>
        <v>16667</v>
      </c>
      <c r="C104" s="12">
        <f t="shared" si="10"/>
        <v>2560</v>
      </c>
      <c r="D104" s="12">
        <f t="shared" si="11"/>
        <v>1049</v>
      </c>
      <c r="E104" s="25">
        <f t="shared" si="12"/>
        <v>2.56103515625</v>
      </c>
      <c r="G104" s="25">
        <f t="shared" si="13"/>
        <v>5.906861741996237</v>
      </c>
      <c r="H104" s="25">
        <f t="shared" si="14"/>
        <v>1599.0479704797044</v>
      </c>
      <c r="I104" s="25">
        <v>1.7</v>
      </c>
      <c r="J104" s="25">
        <f t="shared" si="15"/>
        <v>6.3567270574646306</v>
      </c>
      <c r="K104" s="25">
        <f t="shared" si="16"/>
        <v>1.2501346845316066</v>
      </c>
      <c r="L104" s="25">
        <f t="shared" si="17"/>
        <v>-9.7636503034619793E-2</v>
      </c>
      <c r="N104" s="22" t="s">
        <v>159</v>
      </c>
    </row>
    <row r="105" spans="2:14">
      <c r="B105" s="12">
        <f t="shared" si="9"/>
        <v>16667</v>
      </c>
      <c r="C105" s="12">
        <f t="shared" si="10"/>
        <v>2688</v>
      </c>
      <c r="D105" s="12">
        <f t="shared" si="11"/>
        <v>1069</v>
      </c>
      <c r="E105" s="25">
        <f t="shared" si="12"/>
        <v>2.7403564453125</v>
      </c>
      <c r="G105" s="25">
        <f t="shared" si="13"/>
        <v>5.906861741996237</v>
      </c>
      <c r="H105" s="25">
        <f t="shared" si="14"/>
        <v>1599.0479704797044</v>
      </c>
      <c r="I105" s="25">
        <v>1.7</v>
      </c>
      <c r="J105" s="25">
        <f t="shared" si="15"/>
        <v>6.4543635604992504</v>
      </c>
      <c r="K105" s="25">
        <f t="shared" si="16"/>
        <v>1.1524981814969868</v>
      </c>
      <c r="L105" s="25">
        <f t="shared" si="17"/>
        <v>-9.98655318047037E-2</v>
      </c>
      <c r="N105" s="22" t="s">
        <v>160</v>
      </c>
    </row>
    <row r="106" spans="2:14">
      <c r="B106" s="12">
        <f t="shared" si="9"/>
        <v>16667</v>
      </c>
      <c r="C106" s="12">
        <f t="shared" si="10"/>
        <v>2944</v>
      </c>
      <c r="D106" s="12">
        <f t="shared" si="11"/>
        <v>1046</v>
      </c>
      <c r="E106" s="25">
        <f t="shared" si="12"/>
        <v>2.936767578125</v>
      </c>
      <c r="G106" s="25">
        <f t="shared" si="13"/>
        <v>5.906861741996237</v>
      </c>
      <c r="H106" s="25">
        <f t="shared" si="14"/>
        <v>1599.0479704797044</v>
      </c>
      <c r="I106" s="25">
        <v>1.7</v>
      </c>
      <c r="J106" s="25">
        <f t="shared" si="15"/>
        <v>6.5542290923039541</v>
      </c>
      <c r="K106" s="25">
        <f t="shared" si="16"/>
        <v>1.0526326496922831</v>
      </c>
      <c r="L106" s="25">
        <f t="shared" si="17"/>
        <v>-0.10643538515732498</v>
      </c>
      <c r="N106" s="22" t="s">
        <v>161</v>
      </c>
    </row>
    <row r="107" spans="2:14">
      <c r="B107" s="12">
        <f t="shared" si="9"/>
        <v>16667</v>
      </c>
      <c r="C107" s="12">
        <f t="shared" si="10"/>
        <v>3200</v>
      </c>
      <c r="D107" s="12">
        <f t="shared" si="11"/>
        <v>1036</v>
      </c>
      <c r="E107" s="25">
        <f t="shared" si="12"/>
        <v>3.16162109375</v>
      </c>
      <c r="G107" s="25">
        <f t="shared" si="13"/>
        <v>5.906861741996237</v>
      </c>
      <c r="H107" s="25">
        <f t="shared" si="14"/>
        <v>1599.0479704797044</v>
      </c>
      <c r="I107" s="25">
        <v>1.7</v>
      </c>
      <c r="J107" s="25">
        <f t="shared" si="15"/>
        <v>6.6606644774612791</v>
      </c>
      <c r="K107" s="25">
        <f t="shared" si="16"/>
        <v>0.94619726453495812</v>
      </c>
      <c r="L107" s="25">
        <f t="shared" si="17"/>
        <v>-9.7038040309244344E-2</v>
      </c>
      <c r="N107" s="22" t="s">
        <v>162</v>
      </c>
    </row>
    <row r="108" spans="2:14">
      <c r="B108" s="12">
        <f t="shared" si="9"/>
        <v>16667</v>
      </c>
      <c r="C108" s="12">
        <f t="shared" si="10"/>
        <v>3456</v>
      </c>
      <c r="D108" s="12">
        <f t="shared" si="11"/>
        <v>1026</v>
      </c>
      <c r="E108" s="25">
        <f t="shared" si="12"/>
        <v>3.381591796875</v>
      </c>
      <c r="G108" s="25">
        <f t="shared" si="13"/>
        <v>5.906861741996237</v>
      </c>
      <c r="H108" s="25">
        <f t="shared" si="14"/>
        <v>1599.0479704797044</v>
      </c>
      <c r="I108" s="25">
        <v>1.7</v>
      </c>
      <c r="J108" s="25">
        <f t="shared" si="15"/>
        <v>6.7577025177705234</v>
      </c>
      <c r="K108" s="25">
        <f t="shared" si="16"/>
        <v>0.84915922422571377</v>
      </c>
      <c r="L108" s="25">
        <f t="shared" si="17"/>
        <v>-0.10027847735704842</v>
      </c>
      <c r="N108" s="22" t="s">
        <v>163</v>
      </c>
    </row>
    <row r="109" spans="2:14">
      <c r="B109" s="12">
        <f t="shared" si="9"/>
        <v>16667</v>
      </c>
      <c r="C109" s="12">
        <f t="shared" si="10"/>
        <v>3712</v>
      </c>
      <c r="D109" s="12">
        <f t="shared" si="11"/>
        <v>1024</v>
      </c>
      <c r="E109" s="25">
        <f t="shared" si="12"/>
        <v>3.625</v>
      </c>
      <c r="G109" s="25">
        <f t="shared" si="13"/>
        <v>5.906861741996237</v>
      </c>
      <c r="H109" s="25">
        <f t="shared" si="14"/>
        <v>1599.0479704797044</v>
      </c>
      <c r="I109" s="25">
        <v>1.7</v>
      </c>
      <c r="J109" s="25">
        <f t="shared" si="15"/>
        <v>6.8579809951275719</v>
      </c>
      <c r="K109" s="25">
        <f t="shared" si="16"/>
        <v>0.74888074686866535</v>
      </c>
      <c r="L109" s="25">
        <f t="shared" si="17"/>
        <v>-9.6215315259303935E-2</v>
      </c>
      <c r="N109" s="22" t="s">
        <v>164</v>
      </c>
    </row>
    <row r="110" spans="2:14">
      <c r="B110" s="12">
        <f t="shared" si="9"/>
        <v>16667</v>
      </c>
      <c r="C110" s="12">
        <f t="shared" si="10"/>
        <v>3968</v>
      </c>
      <c r="D110" s="12">
        <f t="shared" si="11"/>
        <v>1024</v>
      </c>
      <c r="E110" s="25">
        <f t="shared" si="12"/>
        <v>3.875</v>
      </c>
      <c r="G110" s="25">
        <f t="shared" si="13"/>
        <v>5.906861741996237</v>
      </c>
      <c r="H110" s="25">
        <f t="shared" si="14"/>
        <v>1599.0479704797044</v>
      </c>
      <c r="I110" s="25">
        <v>1.7</v>
      </c>
      <c r="J110" s="25">
        <f t="shared" si="15"/>
        <v>6.9541963103868758</v>
      </c>
      <c r="K110" s="25">
        <f t="shared" si="16"/>
        <v>0.65266543160936141</v>
      </c>
      <c r="L110" s="25">
        <f t="shared" si="17"/>
        <v>-0.10561286135826453</v>
      </c>
      <c r="N110" s="22" t="s">
        <v>165</v>
      </c>
    </row>
    <row r="111" spans="2:14">
      <c r="B111" s="12">
        <f t="shared" si="9"/>
        <v>16667</v>
      </c>
      <c r="C111" s="12">
        <f t="shared" si="10"/>
        <v>4224</v>
      </c>
      <c r="D111" s="12">
        <f t="shared" si="11"/>
        <v>1035</v>
      </c>
      <c r="E111" s="25">
        <f t="shared" si="12"/>
        <v>4.1693115234375</v>
      </c>
      <c r="G111" s="25">
        <f t="shared" si="13"/>
        <v>5.906861741996237</v>
      </c>
      <c r="H111" s="25">
        <f t="shared" si="14"/>
        <v>1599.0479704797044</v>
      </c>
      <c r="I111" s="25">
        <v>1.7</v>
      </c>
      <c r="J111" s="25">
        <f t="shared" si="15"/>
        <v>7.0598091717451403</v>
      </c>
      <c r="K111" s="25">
        <f t="shared" si="16"/>
        <v>0.54705257025109688</v>
      </c>
      <c r="L111" s="25">
        <f t="shared" si="17"/>
        <v>-9.8761072168071173E-2</v>
      </c>
      <c r="N111" s="22" t="s">
        <v>166</v>
      </c>
    </row>
    <row r="112" spans="2:14">
      <c r="B112" s="12">
        <f t="shared" si="9"/>
        <v>16667</v>
      </c>
      <c r="C112" s="12">
        <f t="shared" si="10"/>
        <v>4480</v>
      </c>
      <c r="D112" s="12">
        <f t="shared" si="11"/>
        <v>1045</v>
      </c>
      <c r="E112" s="25">
        <f t="shared" si="12"/>
        <v>4.4647216796875</v>
      </c>
      <c r="G112" s="25">
        <f t="shared" si="13"/>
        <v>5.906861741996237</v>
      </c>
      <c r="H112" s="25">
        <f t="shared" si="14"/>
        <v>1599.0479704797044</v>
      </c>
      <c r="I112" s="25">
        <v>1.7</v>
      </c>
      <c r="J112" s="25">
        <f t="shared" si="15"/>
        <v>7.1585702439132115</v>
      </c>
      <c r="K112" s="25">
        <f t="shared" si="16"/>
        <v>0.44829149808302571</v>
      </c>
      <c r="L112" s="25">
        <f t="shared" si="17"/>
        <v>-0.10058452495362857</v>
      </c>
      <c r="N112" s="22" t="s">
        <v>167</v>
      </c>
    </row>
    <row r="113" spans="2:14">
      <c r="B113" s="12">
        <f t="shared" si="9"/>
        <v>16667</v>
      </c>
      <c r="C113" s="12">
        <f t="shared" si="10"/>
        <v>4864</v>
      </c>
      <c r="D113" s="12">
        <f t="shared" si="11"/>
        <v>1032</v>
      </c>
      <c r="E113" s="25">
        <f t="shared" si="12"/>
        <v>4.787109375</v>
      </c>
      <c r="G113" s="25">
        <f t="shared" si="13"/>
        <v>5.906861741996237</v>
      </c>
      <c r="H113" s="25">
        <f t="shared" si="14"/>
        <v>1599.0479704797044</v>
      </c>
      <c r="I113" s="25">
        <v>1.7</v>
      </c>
      <c r="J113" s="25">
        <f t="shared" si="15"/>
        <v>7.2591547688668401</v>
      </c>
      <c r="K113" s="25">
        <f t="shared" si="16"/>
        <v>0.34770697312939713</v>
      </c>
      <c r="L113" s="25">
        <f t="shared" si="17"/>
        <v>-9.9968540897457991E-2</v>
      </c>
      <c r="N113" s="22" t="s">
        <v>168</v>
      </c>
    </row>
    <row r="114" spans="2:14">
      <c r="B114" s="12">
        <f t="shared" si="9"/>
        <v>24995</v>
      </c>
      <c r="C114" s="12">
        <f t="shared" si="10"/>
        <v>3456</v>
      </c>
      <c r="D114" s="12">
        <f t="shared" si="11"/>
        <v>1038</v>
      </c>
      <c r="E114" s="25">
        <f t="shared" si="12"/>
        <v>3.421142578125</v>
      </c>
      <c r="G114" s="25">
        <f t="shared" si="13"/>
        <v>5.3222166627532888</v>
      </c>
      <c r="H114" s="25">
        <f t="shared" si="14"/>
        <v>2398.0442804428044</v>
      </c>
      <c r="I114" s="25">
        <v>1.7</v>
      </c>
      <c r="J114" s="25">
        <f t="shared" si="15"/>
        <v>6.7744782305213498</v>
      </c>
      <c r="K114" s="25">
        <f t="shared" si="16"/>
        <v>0.24773843223193914</v>
      </c>
      <c r="L114" s="25">
        <f t="shared" si="17"/>
        <v>-9.8917816992909913E-2</v>
      </c>
      <c r="N114" s="22" t="s">
        <v>169</v>
      </c>
    </row>
    <row r="115" spans="2:14">
      <c r="B115" s="12">
        <f t="shared" si="9"/>
        <v>24995</v>
      </c>
      <c r="C115" s="12">
        <f t="shared" si="10"/>
        <v>3712</v>
      </c>
      <c r="D115" s="12">
        <f t="shared" si="11"/>
        <v>1035</v>
      </c>
      <c r="E115" s="25">
        <f t="shared" si="12"/>
        <v>3.6639404296875</v>
      </c>
      <c r="G115" s="25">
        <f t="shared" si="13"/>
        <v>5.3222166627532888</v>
      </c>
      <c r="H115" s="25">
        <f t="shared" si="14"/>
        <v>2398.0442804428044</v>
      </c>
      <c r="I115" s="25">
        <v>1.7</v>
      </c>
      <c r="J115" s="25">
        <f t="shared" si="15"/>
        <v>6.8733960475142597</v>
      </c>
      <c r="K115" s="25">
        <f t="shared" si="16"/>
        <v>0.14882061523902923</v>
      </c>
      <c r="L115" s="25">
        <f t="shared" si="17"/>
        <v>-0.10039099123049677</v>
      </c>
      <c r="N115" s="22" t="s">
        <v>170</v>
      </c>
    </row>
    <row r="116" spans="2:14">
      <c r="B116" s="12">
        <f t="shared" si="9"/>
        <v>24995</v>
      </c>
      <c r="C116" s="12">
        <f t="shared" si="10"/>
        <v>3968</v>
      </c>
      <c r="D116" s="12">
        <f t="shared" si="11"/>
        <v>1038</v>
      </c>
      <c r="E116" s="25">
        <f t="shared" si="12"/>
        <v>3.927978515625</v>
      </c>
      <c r="G116" s="25">
        <f t="shared" si="13"/>
        <v>5.3222166627532888</v>
      </c>
      <c r="H116" s="25">
        <f t="shared" si="14"/>
        <v>2398.0442804428044</v>
      </c>
      <c r="I116" s="25">
        <v>1.7</v>
      </c>
      <c r="J116" s="25">
        <f t="shared" si="15"/>
        <v>6.9737870387447565</v>
      </c>
      <c r="K116" s="25">
        <f t="shared" si="16"/>
        <v>4.8429624008532457E-2</v>
      </c>
      <c r="L116" s="25">
        <f t="shared" si="17"/>
        <v>-9.7130523133462709E-2</v>
      </c>
      <c r="N116" s="22" t="s">
        <v>171</v>
      </c>
    </row>
    <row r="117" spans="2:14">
      <c r="B117" s="12">
        <f t="shared" si="9"/>
        <v>24995</v>
      </c>
      <c r="C117" s="12">
        <f t="shared" si="10"/>
        <v>4224</v>
      </c>
      <c r="D117" s="12">
        <f t="shared" si="11"/>
        <v>1043</v>
      </c>
      <c r="E117" s="25">
        <f t="shared" si="12"/>
        <v>4.2015380859375</v>
      </c>
      <c r="G117" s="25">
        <f t="shared" si="13"/>
        <v>5.3222166627532888</v>
      </c>
      <c r="H117" s="25">
        <f t="shared" si="14"/>
        <v>2398.0442804428044</v>
      </c>
      <c r="I117" s="25">
        <v>1.7</v>
      </c>
      <c r="J117" s="25">
        <f t="shared" si="15"/>
        <v>7.0709175618782192</v>
      </c>
      <c r="K117" s="25">
        <f t="shared" si="16"/>
        <v>-4.8700899124930253E-2</v>
      </c>
      <c r="L117" s="25">
        <f t="shared" si="17"/>
        <v>-0.10041563395690112</v>
      </c>
      <c r="N117" s="22" t="s">
        <v>172</v>
      </c>
    </row>
    <row r="118" spans="2:14">
      <c r="B118" s="12">
        <f t="shared" si="9"/>
        <v>24995</v>
      </c>
      <c r="C118" s="12">
        <f t="shared" si="10"/>
        <v>4608</v>
      </c>
      <c r="D118" s="12">
        <f t="shared" si="11"/>
        <v>1025</v>
      </c>
      <c r="E118" s="25">
        <f t="shared" si="12"/>
        <v>4.50439453125</v>
      </c>
      <c r="G118" s="25">
        <f t="shared" si="13"/>
        <v>5.3222166627532888</v>
      </c>
      <c r="H118" s="25">
        <f t="shared" si="14"/>
        <v>2398.0442804428044</v>
      </c>
      <c r="I118" s="25">
        <v>1.7</v>
      </c>
      <c r="J118" s="25">
        <f t="shared" si="15"/>
        <v>7.1713331958351203</v>
      </c>
      <c r="K118" s="25">
        <f t="shared" si="16"/>
        <v>-0.14911653308183137</v>
      </c>
      <c r="L118" s="25">
        <f t="shared" si="17"/>
        <v>-0.10195943941467789</v>
      </c>
      <c r="N118" s="22" t="s">
        <v>173</v>
      </c>
    </row>
    <row r="119" spans="2:14">
      <c r="B119" s="12">
        <f t="shared" si="9"/>
        <v>33333</v>
      </c>
      <c r="C119" s="12">
        <f t="shared" si="10"/>
        <v>3712</v>
      </c>
      <c r="D119" s="12">
        <f t="shared" si="11"/>
        <v>1024</v>
      </c>
      <c r="E119" s="25">
        <f t="shared" si="12"/>
        <v>3.625</v>
      </c>
      <c r="G119" s="25">
        <f t="shared" si="13"/>
        <v>4.9069050226310624</v>
      </c>
      <c r="H119" s="25">
        <f t="shared" si="14"/>
        <v>3198</v>
      </c>
      <c r="I119" s="25">
        <v>1.7</v>
      </c>
      <c r="J119" s="25">
        <f t="shared" si="15"/>
        <v>6.8579809951275719</v>
      </c>
      <c r="K119" s="25">
        <f t="shared" si="16"/>
        <v>-0.25107597249650926</v>
      </c>
      <c r="L119" s="25">
        <f t="shared" si="17"/>
        <v>-9.9030330866358263E-2</v>
      </c>
      <c r="N119" s="22" t="s">
        <v>174</v>
      </c>
    </row>
    <row r="120" spans="2:14">
      <c r="B120" s="12">
        <f t="shared" si="9"/>
        <v>33333</v>
      </c>
      <c r="C120" s="12">
        <f t="shared" si="10"/>
        <v>3968</v>
      </c>
      <c r="D120" s="12">
        <f t="shared" si="11"/>
        <v>1026</v>
      </c>
      <c r="E120" s="25">
        <f t="shared" si="12"/>
        <v>3.882568359375</v>
      </c>
      <c r="G120" s="25">
        <f t="shared" si="13"/>
        <v>4.9069050226310624</v>
      </c>
      <c r="H120" s="25">
        <f t="shared" si="14"/>
        <v>3198</v>
      </c>
      <c r="I120" s="25">
        <v>1.7</v>
      </c>
      <c r="J120" s="25">
        <f t="shared" si="15"/>
        <v>6.9570113259939301</v>
      </c>
      <c r="K120" s="25">
        <f t="shared" si="16"/>
        <v>-0.35010630336286752</v>
      </c>
      <c r="L120" s="25">
        <f t="shared" si="17"/>
        <v>-0.10000733222958313</v>
      </c>
      <c r="N120" s="22" t="s">
        <v>175</v>
      </c>
    </row>
    <row r="121" spans="2:14">
      <c r="B121" s="12">
        <f t="shared" si="9"/>
        <v>33333</v>
      </c>
      <c r="C121" s="12">
        <f t="shared" si="10"/>
        <v>4224</v>
      </c>
      <c r="D121" s="12">
        <f t="shared" si="11"/>
        <v>1033</v>
      </c>
      <c r="E121" s="25">
        <f t="shared" si="12"/>
        <v>4.1612548828125</v>
      </c>
      <c r="G121" s="25">
        <f t="shared" si="13"/>
        <v>4.9069050226310624</v>
      </c>
      <c r="H121" s="25">
        <f t="shared" si="14"/>
        <v>3198</v>
      </c>
      <c r="I121" s="25">
        <v>1.7</v>
      </c>
      <c r="J121" s="25">
        <f t="shared" si="15"/>
        <v>7.0570186582235133</v>
      </c>
      <c r="K121" s="25">
        <f t="shared" si="16"/>
        <v>-0.45011363559245066</v>
      </c>
      <c r="L121" s="25">
        <f t="shared" si="17"/>
        <v>-0.100170355291338</v>
      </c>
      <c r="N121" s="22" t="s">
        <v>176</v>
      </c>
    </row>
    <row r="122" spans="2:14">
      <c r="B122" s="12">
        <f t="shared" si="9"/>
        <v>33333</v>
      </c>
      <c r="C122" s="12">
        <f t="shared" si="10"/>
        <v>4480</v>
      </c>
      <c r="D122" s="12">
        <f t="shared" si="11"/>
        <v>1044</v>
      </c>
      <c r="E122" s="25">
        <f t="shared" si="12"/>
        <v>4.46044921875</v>
      </c>
      <c r="G122" s="25">
        <f t="shared" si="13"/>
        <v>4.9069050226310624</v>
      </c>
      <c r="H122" s="25">
        <f t="shared" si="14"/>
        <v>3198</v>
      </c>
      <c r="I122" s="25">
        <v>1.7</v>
      </c>
      <c r="J122" s="25">
        <f t="shared" si="15"/>
        <v>7.1571890135148513</v>
      </c>
      <c r="K122" s="25">
        <f t="shared" si="16"/>
        <v>-0.55028399088378865</v>
      </c>
      <c r="L122" s="25">
        <f t="shared" si="17"/>
        <v>-9.7765766822702993E-2</v>
      </c>
      <c r="N122" s="22" t="s">
        <v>177</v>
      </c>
    </row>
    <row r="123" spans="2:14">
      <c r="B123" s="12">
        <f t="shared" si="9"/>
        <v>33333</v>
      </c>
      <c r="C123" s="12">
        <f t="shared" si="10"/>
        <v>4864</v>
      </c>
      <c r="D123" s="12">
        <f t="shared" si="11"/>
        <v>1029</v>
      </c>
      <c r="E123" s="25">
        <f t="shared" si="12"/>
        <v>4.773193359375</v>
      </c>
      <c r="G123" s="25">
        <f t="shared" si="13"/>
        <v>4.9069050226310624</v>
      </c>
      <c r="H123" s="25">
        <f t="shared" si="14"/>
        <v>3198</v>
      </c>
      <c r="I123" s="25">
        <v>1.7</v>
      </c>
      <c r="J123" s="25">
        <f t="shared" si="15"/>
        <v>7.2549547803375543</v>
      </c>
      <c r="K123" s="25">
        <f t="shared" si="16"/>
        <v>-0.64804975770649165</v>
      </c>
      <c r="L123" s="25">
        <f t="shared" si="17"/>
        <v>-0.10039631608725763</v>
      </c>
      <c r="N123" s="22" t="s">
        <v>178</v>
      </c>
    </row>
    <row r="124" spans="2:14">
      <c r="B124" s="12">
        <f t="shared" si="9"/>
        <v>33333</v>
      </c>
      <c r="C124" s="12">
        <f t="shared" si="10"/>
        <v>5120</v>
      </c>
      <c r="D124" s="12">
        <f t="shared" si="11"/>
        <v>1048</v>
      </c>
      <c r="E124" s="25">
        <f t="shared" si="12"/>
        <v>5.1171875</v>
      </c>
      <c r="G124" s="25">
        <f t="shared" si="13"/>
        <v>4.9069050226310624</v>
      </c>
      <c r="H124" s="25">
        <f t="shared" si="14"/>
        <v>3198</v>
      </c>
      <c r="I124" s="25">
        <v>1.7</v>
      </c>
      <c r="J124" s="25">
        <f t="shared" si="15"/>
        <v>7.3553510964248119</v>
      </c>
      <c r="K124" s="25">
        <f t="shared" si="16"/>
        <v>-0.74844607379374928</v>
      </c>
      <c r="L124" s="25">
        <f t="shared" si="17"/>
        <v>-9.7437100797051812E-2</v>
      </c>
      <c r="N124" s="22" t="s">
        <v>179</v>
      </c>
    </row>
    <row r="125" spans="2:14">
      <c r="B125" s="12">
        <f t="shared" si="9"/>
        <v>33333</v>
      </c>
      <c r="C125" s="12">
        <f t="shared" si="10"/>
        <v>5504</v>
      </c>
      <c r="D125" s="12">
        <f t="shared" si="11"/>
        <v>1043</v>
      </c>
      <c r="E125" s="25">
        <f t="shared" si="12"/>
        <v>5.4747314453125</v>
      </c>
      <c r="G125" s="25">
        <f t="shared" si="13"/>
        <v>4.9069050226310624</v>
      </c>
      <c r="H125" s="25">
        <f t="shared" si="14"/>
        <v>3198</v>
      </c>
      <c r="I125" s="25">
        <v>1.7</v>
      </c>
      <c r="J125" s="25">
        <f t="shared" si="15"/>
        <v>7.4527881972218637</v>
      </c>
      <c r="K125" s="25">
        <f t="shared" si="16"/>
        <v>-0.84588317459080109</v>
      </c>
      <c r="L125" s="25">
        <f t="shared" si="17"/>
        <v>-0.10882792134974206</v>
      </c>
      <c r="N125" s="22" t="s">
        <v>180</v>
      </c>
    </row>
    <row r="126" spans="2:14">
      <c r="B126" s="12">
        <f t="shared" si="9"/>
        <v>33333</v>
      </c>
      <c r="C126" s="12">
        <f t="shared" si="10"/>
        <v>6016</v>
      </c>
      <c r="D126" s="12">
        <f t="shared" si="11"/>
        <v>1029</v>
      </c>
      <c r="E126" s="25">
        <f t="shared" si="12"/>
        <v>5.9036865234375</v>
      </c>
      <c r="G126" s="25">
        <f t="shared" si="13"/>
        <v>4.9069050226310624</v>
      </c>
      <c r="H126" s="25">
        <f t="shared" si="14"/>
        <v>3198</v>
      </c>
      <c r="I126" s="25">
        <v>1.7</v>
      </c>
      <c r="J126" s="25">
        <f t="shared" si="15"/>
        <v>7.5616161185716058</v>
      </c>
      <c r="K126" s="25">
        <f t="shared" si="16"/>
        <v>-0.95471109594054315</v>
      </c>
      <c r="L126" s="25">
        <f t="shared" si="17"/>
        <v>-9.7655123589807324E-2</v>
      </c>
      <c r="N126" s="22" t="s">
        <v>181</v>
      </c>
    </row>
    <row r="127" spans="2:14">
      <c r="B127" s="12">
        <f t="shared" si="9"/>
        <v>33333</v>
      </c>
      <c r="C127" s="12">
        <f t="shared" si="10"/>
        <v>6400</v>
      </c>
      <c r="D127" s="12">
        <f t="shared" si="11"/>
        <v>1035</v>
      </c>
      <c r="E127" s="25">
        <f t="shared" si="12"/>
        <v>6.317138671875</v>
      </c>
      <c r="G127" s="25">
        <f t="shared" si="13"/>
        <v>4.9069050226310624</v>
      </c>
      <c r="H127" s="25">
        <f t="shared" si="14"/>
        <v>3198</v>
      </c>
      <c r="I127" s="25">
        <v>1.7</v>
      </c>
      <c r="J127" s="25">
        <f t="shared" si="15"/>
        <v>7.6592712421614131</v>
      </c>
      <c r="K127" s="25">
        <f t="shared" si="16"/>
        <v>-1.0523662195303505</v>
      </c>
      <c r="L127" s="25">
        <f t="shared" si="17"/>
        <v>-9.9836726320250868E-2</v>
      </c>
      <c r="N127" s="22" t="s">
        <v>182</v>
      </c>
    </row>
    <row r="128" spans="2:14">
      <c r="B128" s="12">
        <f t="shared" si="9"/>
        <v>33333</v>
      </c>
      <c r="C128" s="12">
        <f t="shared" si="10"/>
        <v>6912</v>
      </c>
      <c r="D128" s="12">
        <f t="shared" si="11"/>
        <v>1027</v>
      </c>
      <c r="E128" s="25">
        <f t="shared" si="12"/>
        <v>6.769775390625</v>
      </c>
      <c r="G128" s="25">
        <f t="shared" si="13"/>
        <v>4.9069050226310624</v>
      </c>
      <c r="H128" s="25">
        <f t="shared" si="14"/>
        <v>3198</v>
      </c>
      <c r="I128" s="25">
        <v>1.7</v>
      </c>
      <c r="J128" s="25">
        <f t="shared" si="15"/>
        <v>7.759107968481664</v>
      </c>
      <c r="K128" s="25">
        <f t="shared" si="16"/>
        <v>-1.1522029458506013</v>
      </c>
      <c r="L128" s="25">
        <f t="shared" si="17"/>
        <v>-9.8873026645907913E-2</v>
      </c>
      <c r="N128" s="22" t="s">
        <v>183</v>
      </c>
    </row>
    <row r="129" spans="2:14">
      <c r="B129" s="12">
        <f t="shared" si="9"/>
        <v>33333</v>
      </c>
      <c r="C129" s="12">
        <f t="shared" si="10"/>
        <v>7424</v>
      </c>
      <c r="D129" s="12">
        <f t="shared" si="11"/>
        <v>1024</v>
      </c>
      <c r="E129" s="25">
        <f t="shared" si="12"/>
        <v>7.25</v>
      </c>
      <c r="G129" s="25">
        <f t="shared" si="13"/>
        <v>4.9069050226310624</v>
      </c>
      <c r="H129" s="25">
        <f t="shared" si="14"/>
        <v>3198</v>
      </c>
      <c r="I129" s="25">
        <v>1.7</v>
      </c>
      <c r="J129" s="25">
        <f t="shared" si="15"/>
        <v>7.8579809951275719</v>
      </c>
      <c r="K129" s="25">
        <f t="shared" si="16"/>
        <v>-1.2510759724965093</v>
      </c>
      <c r="L129" s="25">
        <f t="shared" si="17"/>
        <v>-9.9030330866358263E-2</v>
      </c>
      <c r="N129" s="22" t="s">
        <v>184</v>
      </c>
    </row>
    <row r="130" spans="2:14">
      <c r="B130" s="12">
        <f t="shared" si="9"/>
        <v>33333</v>
      </c>
      <c r="C130" s="12">
        <f t="shared" si="10"/>
        <v>7936</v>
      </c>
      <c r="D130" s="12">
        <f t="shared" si="11"/>
        <v>1026</v>
      </c>
      <c r="E130" s="25">
        <f t="shared" si="12"/>
        <v>7.76513671875</v>
      </c>
      <c r="G130" s="25">
        <f t="shared" si="13"/>
        <v>4.9069050226310624</v>
      </c>
      <c r="H130" s="25">
        <f t="shared" si="14"/>
        <v>3198</v>
      </c>
      <c r="I130" s="25">
        <v>1.7</v>
      </c>
      <c r="J130" s="25">
        <f t="shared" si="15"/>
        <v>7.9570113259939301</v>
      </c>
      <c r="K130" s="25">
        <f t="shared" si="16"/>
        <v>-1.3501063033628675</v>
      </c>
      <c r="L130" s="25">
        <f t="shared" si="17"/>
        <v>-9.8610048787778126E-2</v>
      </c>
      <c r="N130" s="22" t="s">
        <v>185</v>
      </c>
    </row>
    <row r="131" spans="2:14">
      <c r="B131" s="12">
        <f t="shared" si="9"/>
        <v>33333</v>
      </c>
      <c r="C131" s="12">
        <f t="shared" si="10"/>
        <v>8448</v>
      </c>
      <c r="D131" s="12">
        <f t="shared" si="11"/>
        <v>1032</v>
      </c>
      <c r="E131" s="25">
        <f t="shared" si="12"/>
        <v>8.314453125</v>
      </c>
      <c r="G131" s="25">
        <f t="shared" si="13"/>
        <v>4.9069050226310624</v>
      </c>
      <c r="H131" s="25">
        <f t="shared" si="14"/>
        <v>3198</v>
      </c>
      <c r="I131" s="25">
        <v>1.7</v>
      </c>
      <c r="J131" s="25">
        <f t="shared" si="15"/>
        <v>8.0556213747817083</v>
      </c>
      <c r="K131" s="25">
        <f t="shared" si="16"/>
        <v>-1.4487163521506456</v>
      </c>
      <c r="L131" s="25">
        <f t="shared" si="17"/>
        <v>-9.9750293916851973E-2</v>
      </c>
      <c r="N131" s="22" t="s">
        <v>186</v>
      </c>
    </row>
    <row r="132" spans="2:14">
      <c r="B132" s="12">
        <f t="shared" ref="B132:B177" si="18">VALUE(MID(N132,6,SEARCH(",",N132,1)-6))</f>
        <v>33333</v>
      </c>
      <c r="C132" s="12">
        <f t="shared" ref="C132:C177" si="19">VALUE(MID($N132,FIND("*",SUBSTITUTE($N132,",","*",1),1)+1,FIND("*",SUBSTITUTE($N132,",","*",2),1)-FIND("*",SUBSTITUTE($N132,",","*",1),1)-1))</f>
        <v>9088</v>
      </c>
      <c r="D132" s="12">
        <f t="shared" ref="D132:D177" si="20">VALUE(MID($N132,FIND("*",SUBSTITUTE($N132,",","*",2),1)+1,FIND("*",SUBSTITUTE($N132,",","*",3),1)-FIND("*",SUBSTITUTE($N132,",","*",2),1)-1))</f>
        <v>1028</v>
      </c>
      <c r="E132" s="25">
        <f t="shared" ref="E132:E177" si="21">((C132/1024)*(D132/1024))</f>
        <v>8.90966796875</v>
      </c>
      <c r="G132" s="25">
        <f t="shared" ref="G132:G177" si="22">-LOG(B132*0.000001,2)</f>
        <v>4.9069050226310624</v>
      </c>
      <c r="H132" s="25">
        <f t="shared" ref="H132:H177" si="23">B132*0.000001*3198/0.033333</f>
        <v>3198</v>
      </c>
      <c r="I132" s="25">
        <v>1.7</v>
      </c>
      <c r="J132" s="25">
        <f t="shared" ref="J132:J177" si="24">LOG((C132/1024)*(D132/1024)*100/3.125,2)</f>
        <v>8.1553716686985602</v>
      </c>
      <c r="K132" s="25">
        <f t="shared" ref="K132:K177" si="25">I132+G132-J132</f>
        <v>-1.5484666460674976</v>
      </c>
      <c r="L132" s="25">
        <f t="shared" ref="L132:L176" si="26">K133-K132</f>
        <v>-9.9583111638994026E-2</v>
      </c>
      <c r="N132" s="22" t="s">
        <v>187</v>
      </c>
    </row>
    <row r="133" spans="2:14">
      <c r="B133" s="12">
        <f t="shared" si="18"/>
        <v>33333</v>
      </c>
      <c r="C133" s="12">
        <f t="shared" si="19"/>
        <v>9728</v>
      </c>
      <c r="D133" s="12">
        <f t="shared" si="20"/>
        <v>1029</v>
      </c>
      <c r="E133" s="25">
        <f t="shared" si="21"/>
        <v>9.54638671875</v>
      </c>
      <c r="G133" s="25">
        <f t="shared" si="22"/>
        <v>4.9069050226310624</v>
      </c>
      <c r="H133" s="25">
        <f t="shared" si="23"/>
        <v>3198</v>
      </c>
      <c r="I133" s="25">
        <v>1.7</v>
      </c>
      <c r="J133" s="25">
        <f t="shared" si="24"/>
        <v>8.2549547803375543</v>
      </c>
      <c r="K133" s="25">
        <f t="shared" si="25"/>
        <v>-1.6480497577064916</v>
      </c>
      <c r="L133" s="25">
        <f t="shared" si="26"/>
        <v>-9.8915692862005855E-2</v>
      </c>
      <c r="N133" s="22" t="s">
        <v>188</v>
      </c>
    </row>
    <row r="134" spans="2:14">
      <c r="B134" s="12">
        <f t="shared" si="18"/>
        <v>33333</v>
      </c>
      <c r="C134" s="12">
        <f t="shared" si="19"/>
        <v>10368</v>
      </c>
      <c r="D134" s="12">
        <f t="shared" si="20"/>
        <v>1034</v>
      </c>
      <c r="E134" s="25">
        <f t="shared" si="21"/>
        <v>10.223876953125</v>
      </c>
      <c r="G134" s="25">
        <f t="shared" si="22"/>
        <v>4.9069050226310624</v>
      </c>
      <c r="H134" s="25">
        <f t="shared" si="23"/>
        <v>3198</v>
      </c>
      <c r="I134" s="25">
        <v>1.7</v>
      </c>
      <c r="J134" s="25">
        <f t="shared" si="24"/>
        <v>8.3538704731995601</v>
      </c>
      <c r="K134" s="25">
        <f t="shared" si="25"/>
        <v>-1.7469654505684975</v>
      </c>
      <c r="L134" s="25">
        <f t="shared" si="26"/>
        <v>-9.890164001727797E-2</v>
      </c>
      <c r="N134" s="22" t="s">
        <v>189</v>
      </c>
    </row>
    <row r="135" spans="2:14">
      <c r="B135" s="12">
        <f t="shared" si="18"/>
        <v>33333</v>
      </c>
      <c r="C135" s="12">
        <f t="shared" si="19"/>
        <v>11136</v>
      </c>
      <c r="D135" s="12">
        <f t="shared" si="20"/>
        <v>1031</v>
      </c>
      <c r="E135" s="25">
        <f t="shared" si="21"/>
        <v>10.9493408203125</v>
      </c>
      <c r="G135" s="25">
        <f t="shared" si="22"/>
        <v>4.9069050226310624</v>
      </c>
      <c r="H135" s="25">
        <f t="shared" si="23"/>
        <v>3198</v>
      </c>
      <c r="I135" s="25">
        <v>1.7</v>
      </c>
      <c r="J135" s="25">
        <f t="shared" si="24"/>
        <v>8.4527721132168381</v>
      </c>
      <c r="K135" s="25">
        <f t="shared" si="25"/>
        <v>-1.8458670905857755</v>
      </c>
      <c r="L135" s="25">
        <f t="shared" si="26"/>
        <v>-0.10884400535476857</v>
      </c>
      <c r="N135" s="22" t="s">
        <v>190</v>
      </c>
    </row>
    <row r="136" spans="2:14">
      <c r="B136" s="12">
        <f t="shared" si="18"/>
        <v>33333</v>
      </c>
      <c r="C136" s="12">
        <f t="shared" si="19"/>
        <v>12032</v>
      </c>
      <c r="D136" s="12">
        <f t="shared" si="20"/>
        <v>1029</v>
      </c>
      <c r="E136" s="25">
        <f t="shared" si="21"/>
        <v>11.807373046875</v>
      </c>
      <c r="G136" s="25">
        <f t="shared" si="22"/>
        <v>4.9069050226310624</v>
      </c>
      <c r="H136" s="25">
        <f t="shared" si="23"/>
        <v>3198</v>
      </c>
      <c r="I136" s="25">
        <v>1.7</v>
      </c>
      <c r="J136" s="25">
        <f t="shared" si="24"/>
        <v>8.5616161185716066</v>
      </c>
      <c r="K136" s="25">
        <f t="shared" si="25"/>
        <v>-1.954711095940544</v>
      </c>
      <c r="L136" s="25">
        <f t="shared" si="26"/>
        <v>-9.2068688571226076E-2</v>
      </c>
      <c r="N136" s="22" t="s">
        <v>191</v>
      </c>
    </row>
    <row r="137" spans="2:14">
      <c r="B137" s="12">
        <f t="shared" si="18"/>
        <v>33333</v>
      </c>
      <c r="C137" s="12">
        <f t="shared" si="19"/>
        <v>12800</v>
      </c>
      <c r="D137" s="12">
        <f t="shared" si="20"/>
        <v>1031</v>
      </c>
      <c r="E137" s="25">
        <f t="shared" si="21"/>
        <v>12.58544921875</v>
      </c>
      <c r="G137" s="25">
        <f t="shared" si="22"/>
        <v>4.9069050226310624</v>
      </c>
      <c r="H137" s="25">
        <f t="shared" si="23"/>
        <v>3198</v>
      </c>
      <c r="I137" s="25">
        <v>1.7</v>
      </c>
      <c r="J137" s="25">
        <f t="shared" si="24"/>
        <v>8.6536848071428327</v>
      </c>
      <c r="K137" s="25">
        <f t="shared" si="25"/>
        <v>-2.0467797845117701</v>
      </c>
      <c r="L137" s="25">
        <f t="shared" si="26"/>
        <v>-0.10120269502063728</v>
      </c>
      <c r="N137" s="22" t="s">
        <v>192</v>
      </c>
    </row>
    <row r="138" spans="2:14">
      <c r="B138" s="12">
        <f t="shared" si="18"/>
        <v>33333</v>
      </c>
      <c r="C138" s="12">
        <f t="shared" si="19"/>
        <v>13824</v>
      </c>
      <c r="D138" s="12">
        <f t="shared" si="20"/>
        <v>1024</v>
      </c>
      <c r="E138" s="25">
        <f t="shared" si="21"/>
        <v>13.5</v>
      </c>
      <c r="G138" s="25">
        <f t="shared" si="22"/>
        <v>4.9069050226310624</v>
      </c>
      <c r="H138" s="25">
        <f t="shared" si="23"/>
        <v>3198</v>
      </c>
      <c r="I138" s="25">
        <v>1.7</v>
      </c>
      <c r="J138" s="25">
        <f t="shared" si="24"/>
        <v>8.75488750216347</v>
      </c>
      <c r="K138" s="25">
        <f t="shared" si="25"/>
        <v>-2.1479824795324074</v>
      </c>
      <c r="L138" s="25">
        <f t="shared" si="26"/>
        <v>-9.8849378005215982E-2</v>
      </c>
      <c r="N138" s="22" t="s">
        <v>193</v>
      </c>
    </row>
    <row r="139" spans="2:14">
      <c r="B139" s="12">
        <f t="shared" si="18"/>
        <v>41661</v>
      </c>
      <c r="C139" s="12">
        <f t="shared" si="19"/>
        <v>11776</v>
      </c>
      <c r="D139" s="12">
        <f t="shared" si="20"/>
        <v>1030</v>
      </c>
      <c r="E139" s="25">
        <f t="shared" si="21"/>
        <v>11.5673828125</v>
      </c>
      <c r="G139" s="25">
        <f t="shared" si="22"/>
        <v>4.5851587205899706</v>
      </c>
      <c r="H139" s="25">
        <f t="shared" si="23"/>
        <v>3996.9963099630991</v>
      </c>
      <c r="I139" s="25">
        <v>1.7</v>
      </c>
      <c r="J139" s="25">
        <f t="shared" si="24"/>
        <v>8.5319905781275942</v>
      </c>
      <c r="K139" s="25">
        <f t="shared" si="25"/>
        <v>-2.2468318575376234</v>
      </c>
      <c r="L139" s="25">
        <f t="shared" si="26"/>
        <v>-0.10018105755906959</v>
      </c>
      <c r="N139" s="22" t="s">
        <v>194</v>
      </c>
    </row>
    <row r="140" spans="2:14">
      <c r="B140" s="12">
        <f t="shared" si="18"/>
        <v>41661</v>
      </c>
      <c r="C140" s="12">
        <f t="shared" si="19"/>
        <v>12672</v>
      </c>
      <c r="D140" s="12">
        <f t="shared" si="20"/>
        <v>1026</v>
      </c>
      <c r="E140" s="25">
        <f t="shared" si="21"/>
        <v>12.399169921875</v>
      </c>
      <c r="G140" s="25">
        <f t="shared" si="22"/>
        <v>4.5851587205899706</v>
      </c>
      <c r="H140" s="25">
        <f t="shared" si="23"/>
        <v>3996.9963099630991</v>
      </c>
      <c r="I140" s="25">
        <v>1.7</v>
      </c>
      <c r="J140" s="25">
        <f t="shared" si="24"/>
        <v>8.6321716356866638</v>
      </c>
      <c r="K140" s="25">
        <f t="shared" si="25"/>
        <v>-2.347012915096693</v>
      </c>
      <c r="L140" s="25">
        <f t="shared" si="26"/>
        <v>-0.10031922602134991</v>
      </c>
      <c r="N140" s="22" t="s">
        <v>195</v>
      </c>
    </row>
    <row r="141" spans="2:14">
      <c r="B141" s="12">
        <f t="shared" si="18"/>
        <v>50000</v>
      </c>
      <c r="C141" s="12">
        <f t="shared" si="19"/>
        <v>11264</v>
      </c>
      <c r="D141" s="12">
        <f t="shared" si="20"/>
        <v>1031</v>
      </c>
      <c r="E141" s="25">
        <f t="shared" si="21"/>
        <v>11.0751953125</v>
      </c>
      <c r="G141" s="25">
        <f t="shared" si="22"/>
        <v>4.3219280948873626</v>
      </c>
      <c r="H141" s="25">
        <f t="shared" si="23"/>
        <v>4797.0479704797035</v>
      </c>
      <c r="I141" s="25">
        <v>1.7</v>
      </c>
      <c r="J141" s="25">
        <f t="shared" si="24"/>
        <v>8.4692602360054057</v>
      </c>
      <c r="K141" s="25">
        <f t="shared" si="25"/>
        <v>-2.4473321411180429</v>
      </c>
      <c r="L141" s="25">
        <f t="shared" si="26"/>
        <v>-9.934908598716774E-2</v>
      </c>
      <c r="N141" s="22" t="s">
        <v>196</v>
      </c>
    </row>
    <row r="142" spans="2:14">
      <c r="B142" s="12">
        <f t="shared" si="18"/>
        <v>50000</v>
      </c>
      <c r="C142" s="12">
        <f t="shared" si="19"/>
        <v>12032</v>
      </c>
      <c r="D142" s="12">
        <f t="shared" si="20"/>
        <v>1034</v>
      </c>
      <c r="E142" s="25">
        <f t="shared" si="21"/>
        <v>11.86474609375</v>
      </c>
      <c r="G142" s="25">
        <f t="shared" si="22"/>
        <v>4.3219280948873626</v>
      </c>
      <c r="H142" s="25">
        <f t="shared" si="23"/>
        <v>4797.0479704797035</v>
      </c>
      <c r="I142" s="25">
        <v>1.7</v>
      </c>
      <c r="J142" s="25">
        <f t="shared" si="24"/>
        <v>8.5686093219925734</v>
      </c>
      <c r="K142" s="25">
        <f t="shared" si="25"/>
        <v>-2.5466812271052106</v>
      </c>
      <c r="L142" s="25">
        <f t="shared" si="26"/>
        <v>-9.9430778127329589E-2</v>
      </c>
      <c r="N142" s="22" t="s">
        <v>197</v>
      </c>
    </row>
    <row r="143" spans="2:14">
      <c r="B143" s="12">
        <f t="shared" si="18"/>
        <v>50000</v>
      </c>
      <c r="C143" s="12">
        <f t="shared" si="19"/>
        <v>12928</v>
      </c>
      <c r="D143" s="12">
        <f t="shared" si="20"/>
        <v>1031</v>
      </c>
      <c r="E143" s="25">
        <f t="shared" si="21"/>
        <v>12.7113037109375</v>
      </c>
      <c r="G143" s="25">
        <f t="shared" si="22"/>
        <v>4.3219280948873626</v>
      </c>
      <c r="H143" s="25">
        <f t="shared" si="23"/>
        <v>4797.0479704797035</v>
      </c>
      <c r="I143" s="25">
        <v>1.7</v>
      </c>
      <c r="J143" s="25">
        <f t="shared" si="24"/>
        <v>8.668040100119903</v>
      </c>
      <c r="K143" s="25">
        <f t="shared" si="25"/>
        <v>-2.6461120052325402</v>
      </c>
      <c r="L143" s="25">
        <f t="shared" si="26"/>
        <v>-0.1004064896417054</v>
      </c>
      <c r="N143" s="22" t="s">
        <v>198</v>
      </c>
    </row>
    <row r="144" spans="2:14">
      <c r="B144" s="12">
        <f t="shared" si="18"/>
        <v>58328</v>
      </c>
      <c r="C144" s="12">
        <f t="shared" si="19"/>
        <v>11904</v>
      </c>
      <c r="D144" s="12">
        <f t="shared" si="20"/>
        <v>1029</v>
      </c>
      <c r="E144" s="25">
        <f t="shared" si="21"/>
        <v>11.6817626953125</v>
      </c>
      <c r="G144" s="25">
        <f t="shared" si="22"/>
        <v>4.0996675831277543</v>
      </c>
      <c r="H144" s="25">
        <f t="shared" si="23"/>
        <v>5596.0442804428039</v>
      </c>
      <c r="I144" s="25">
        <v>1.7</v>
      </c>
      <c r="J144" s="25">
        <f t="shared" si="24"/>
        <v>8.546186078002</v>
      </c>
      <c r="K144" s="25">
        <f t="shared" si="25"/>
        <v>-2.7465184948742456</v>
      </c>
      <c r="L144" s="25">
        <f t="shared" si="26"/>
        <v>-9.9078306165534258E-2</v>
      </c>
      <c r="N144" s="22" t="s">
        <v>199</v>
      </c>
    </row>
    <row r="145" spans="2:14">
      <c r="B145" s="12">
        <f t="shared" si="18"/>
        <v>58328</v>
      </c>
      <c r="C145" s="12">
        <f t="shared" si="19"/>
        <v>12800</v>
      </c>
      <c r="D145" s="12">
        <f t="shared" si="20"/>
        <v>1025</v>
      </c>
      <c r="E145" s="25">
        <f t="shared" si="21"/>
        <v>12.51220703125</v>
      </c>
      <c r="G145" s="25">
        <f t="shared" si="22"/>
        <v>4.0996675831277543</v>
      </c>
      <c r="H145" s="25">
        <f t="shared" si="23"/>
        <v>5596.0442804428039</v>
      </c>
      <c r="I145" s="25">
        <v>1.7</v>
      </c>
      <c r="J145" s="25">
        <f t="shared" si="24"/>
        <v>8.6452643841675343</v>
      </c>
      <c r="K145" s="25">
        <f t="shared" si="25"/>
        <v>-2.8455968010397799</v>
      </c>
      <c r="L145" s="25">
        <f t="shared" si="26"/>
        <v>-0.10067745775212256</v>
      </c>
      <c r="N145" s="22" t="s">
        <v>200</v>
      </c>
    </row>
    <row r="146" spans="2:14">
      <c r="B146" s="12">
        <f t="shared" si="18"/>
        <v>66666</v>
      </c>
      <c r="C146" s="12">
        <f t="shared" si="19"/>
        <v>11904</v>
      </c>
      <c r="D146" s="12">
        <f t="shared" si="20"/>
        <v>1034</v>
      </c>
      <c r="E146" s="25">
        <f t="shared" si="21"/>
        <v>11.738525390625</v>
      </c>
      <c r="G146" s="25">
        <f t="shared" si="22"/>
        <v>3.9069050226310624</v>
      </c>
      <c r="H146" s="25">
        <f t="shared" si="23"/>
        <v>6396</v>
      </c>
      <c r="I146" s="25">
        <v>1.7</v>
      </c>
      <c r="J146" s="25">
        <f t="shared" si="24"/>
        <v>8.553179281422965</v>
      </c>
      <c r="K146" s="25">
        <f t="shared" si="25"/>
        <v>-2.9462742587919024</v>
      </c>
      <c r="L146" s="25">
        <f t="shared" si="26"/>
        <v>-0.10050552571986771</v>
      </c>
      <c r="N146" s="22" t="s">
        <v>201</v>
      </c>
    </row>
    <row r="147" spans="2:14">
      <c r="B147" s="12">
        <f t="shared" si="18"/>
        <v>66666</v>
      </c>
      <c r="C147" s="12">
        <f t="shared" si="19"/>
        <v>12800</v>
      </c>
      <c r="D147" s="12">
        <f t="shared" si="20"/>
        <v>1031</v>
      </c>
      <c r="E147" s="25">
        <f t="shared" si="21"/>
        <v>12.58544921875</v>
      </c>
      <c r="G147" s="25">
        <f t="shared" si="22"/>
        <v>3.9069050226310624</v>
      </c>
      <c r="H147" s="25">
        <f t="shared" si="23"/>
        <v>6396</v>
      </c>
      <c r="I147" s="25">
        <v>1.7</v>
      </c>
      <c r="J147" s="25">
        <f t="shared" si="24"/>
        <v>8.6536848071428327</v>
      </c>
      <c r="K147" s="25">
        <f t="shared" si="25"/>
        <v>-3.0467797845117701</v>
      </c>
      <c r="L147" s="25">
        <f t="shared" si="26"/>
        <v>-9.9009434681567754E-2</v>
      </c>
      <c r="N147" s="22" t="s">
        <v>202</v>
      </c>
    </row>
    <row r="148" spans="2:14">
      <c r="B148" s="12">
        <f t="shared" si="18"/>
        <v>66666</v>
      </c>
      <c r="C148" s="12">
        <f t="shared" si="19"/>
        <v>13696</v>
      </c>
      <c r="D148" s="12">
        <f t="shared" si="20"/>
        <v>1032</v>
      </c>
      <c r="E148" s="25">
        <f t="shared" si="21"/>
        <v>13.4794921875</v>
      </c>
      <c r="G148" s="25">
        <f t="shared" si="22"/>
        <v>3.9069050226310624</v>
      </c>
      <c r="H148" s="25">
        <f t="shared" si="23"/>
        <v>6396</v>
      </c>
      <c r="I148" s="25">
        <v>1.7</v>
      </c>
      <c r="J148" s="25">
        <f t="shared" si="24"/>
        <v>8.7526942418244005</v>
      </c>
      <c r="K148" s="25">
        <f t="shared" si="25"/>
        <v>-3.1457892191933379</v>
      </c>
      <c r="L148" s="25">
        <f t="shared" si="26"/>
        <v>-9.9823076013944245E-2</v>
      </c>
      <c r="N148" s="22" t="s">
        <v>203</v>
      </c>
    </row>
    <row r="149" spans="2:14">
      <c r="B149" s="12">
        <f t="shared" si="18"/>
        <v>66666</v>
      </c>
      <c r="C149" s="12">
        <f t="shared" si="19"/>
        <v>14720</v>
      </c>
      <c r="D149" s="12">
        <f t="shared" si="20"/>
        <v>1029</v>
      </c>
      <c r="E149" s="25">
        <f t="shared" si="21"/>
        <v>14.4451904296875</v>
      </c>
      <c r="G149" s="25">
        <f t="shared" si="22"/>
        <v>3.9069050226310624</v>
      </c>
      <c r="H149" s="25">
        <f t="shared" si="23"/>
        <v>6396</v>
      </c>
      <c r="I149" s="25">
        <v>1.7</v>
      </c>
      <c r="J149" s="25">
        <f t="shared" si="24"/>
        <v>8.8525173178383447</v>
      </c>
      <c r="K149" s="25">
        <f t="shared" si="25"/>
        <v>-3.2456122952072821</v>
      </c>
      <c r="L149" s="25">
        <f t="shared" si="26"/>
        <v>-9.9825804869004386E-2</v>
      </c>
      <c r="N149" s="22" t="s">
        <v>204</v>
      </c>
    </row>
    <row r="150" spans="2:14">
      <c r="B150" s="12">
        <f t="shared" si="18"/>
        <v>66666</v>
      </c>
      <c r="C150" s="12">
        <f t="shared" si="19"/>
        <v>15744</v>
      </c>
      <c r="D150" s="12">
        <f t="shared" si="20"/>
        <v>1031</v>
      </c>
      <c r="E150" s="25">
        <f t="shared" si="21"/>
        <v>15.4801025390625</v>
      </c>
      <c r="G150" s="25">
        <f t="shared" si="22"/>
        <v>3.9069050226310624</v>
      </c>
      <c r="H150" s="25">
        <f t="shared" si="23"/>
        <v>6396</v>
      </c>
      <c r="I150" s="25">
        <v>1.7</v>
      </c>
      <c r="J150" s="25">
        <f t="shared" si="24"/>
        <v>8.9523431227073491</v>
      </c>
      <c r="K150" s="25">
        <f t="shared" si="25"/>
        <v>-3.3454381000762865</v>
      </c>
      <c r="L150" s="25">
        <f t="shared" si="26"/>
        <v>-0.10970301501314239</v>
      </c>
      <c r="N150" s="22" t="s">
        <v>205</v>
      </c>
    </row>
    <row r="151" spans="2:14">
      <c r="B151" s="12">
        <f t="shared" si="18"/>
        <v>66666</v>
      </c>
      <c r="C151" s="12">
        <f t="shared" si="19"/>
        <v>16384</v>
      </c>
      <c r="D151" s="12">
        <f t="shared" si="20"/>
        <v>1069</v>
      </c>
      <c r="E151" s="25">
        <f t="shared" si="21"/>
        <v>16.703125</v>
      </c>
      <c r="G151" s="25">
        <f t="shared" si="22"/>
        <v>3.9069050226310624</v>
      </c>
      <c r="H151" s="25">
        <f t="shared" si="23"/>
        <v>6396</v>
      </c>
      <c r="I151" s="25">
        <v>1.7</v>
      </c>
      <c r="J151" s="25">
        <f t="shared" si="24"/>
        <v>9.0620461377204915</v>
      </c>
      <c r="K151" s="25">
        <f t="shared" si="25"/>
        <v>-3.4551411150894289</v>
      </c>
      <c r="L151" s="25">
        <f t="shared" si="26"/>
        <v>-0.10034519103641415</v>
      </c>
      <c r="N151" s="22" t="s">
        <v>206</v>
      </c>
    </row>
    <row r="152" spans="2:14">
      <c r="B152" s="12">
        <f t="shared" si="18"/>
        <v>66666</v>
      </c>
      <c r="C152" s="12">
        <f t="shared" si="19"/>
        <v>16384</v>
      </c>
      <c r="D152" s="12">
        <f t="shared" si="20"/>
        <v>1146</v>
      </c>
      <c r="E152" s="25">
        <f t="shared" si="21"/>
        <v>17.90625</v>
      </c>
      <c r="G152" s="25">
        <f t="shared" si="22"/>
        <v>3.9069050226310624</v>
      </c>
      <c r="H152" s="25">
        <f t="shared" si="23"/>
        <v>6396</v>
      </c>
      <c r="I152" s="25">
        <v>1.7</v>
      </c>
      <c r="J152" s="25">
        <f t="shared" si="24"/>
        <v>9.1623913287569057</v>
      </c>
      <c r="K152" s="25">
        <f t="shared" si="25"/>
        <v>-3.555486306125843</v>
      </c>
      <c r="L152" s="25">
        <f t="shared" si="26"/>
        <v>-9.9703516613272924E-2</v>
      </c>
      <c r="N152" s="22" t="s">
        <v>207</v>
      </c>
    </row>
    <row r="153" spans="2:14">
      <c r="B153" s="12">
        <f t="shared" si="18"/>
        <v>66666</v>
      </c>
      <c r="C153" s="12">
        <f t="shared" si="19"/>
        <v>16384</v>
      </c>
      <c r="D153" s="12">
        <f t="shared" si="20"/>
        <v>1228</v>
      </c>
      <c r="E153" s="25">
        <f t="shared" si="21"/>
        <v>19.1875</v>
      </c>
      <c r="G153" s="25">
        <f t="shared" si="22"/>
        <v>3.9069050226310624</v>
      </c>
      <c r="H153" s="25">
        <f t="shared" si="23"/>
        <v>6396</v>
      </c>
      <c r="I153" s="25">
        <v>1.7</v>
      </c>
      <c r="J153" s="25">
        <f t="shared" si="24"/>
        <v>9.2620948453701786</v>
      </c>
      <c r="K153" s="25">
        <f t="shared" si="25"/>
        <v>-3.655189822739116</v>
      </c>
      <c r="L153" s="25">
        <f t="shared" si="26"/>
        <v>-9.8752238809487025E-2</v>
      </c>
      <c r="N153" s="22" t="s">
        <v>208</v>
      </c>
    </row>
    <row r="154" spans="2:14">
      <c r="B154" s="12">
        <f t="shared" si="18"/>
        <v>66666</v>
      </c>
      <c r="C154" s="12">
        <f t="shared" si="19"/>
        <v>16384</v>
      </c>
      <c r="D154" s="12">
        <f t="shared" si="20"/>
        <v>1315</v>
      </c>
      <c r="E154" s="25">
        <f t="shared" si="21"/>
        <v>20.546875</v>
      </c>
      <c r="G154" s="25">
        <f t="shared" si="22"/>
        <v>3.9069050226310624</v>
      </c>
      <c r="H154" s="25">
        <f t="shared" si="23"/>
        <v>6396</v>
      </c>
      <c r="I154" s="25">
        <v>1.7</v>
      </c>
      <c r="J154" s="25">
        <f t="shared" si="24"/>
        <v>9.3608470841796656</v>
      </c>
      <c r="K154" s="25">
        <f t="shared" si="25"/>
        <v>-3.753942061548603</v>
      </c>
      <c r="L154" s="25">
        <f t="shared" si="26"/>
        <v>-9.960881212997208E-2</v>
      </c>
      <c r="N154" s="22" t="s">
        <v>209</v>
      </c>
    </row>
    <row r="155" spans="2:14">
      <c r="B155" s="12">
        <f t="shared" si="18"/>
        <v>66666</v>
      </c>
      <c r="C155" s="12">
        <f t="shared" si="19"/>
        <v>16384</v>
      </c>
      <c r="D155" s="12">
        <f t="shared" si="20"/>
        <v>1409</v>
      </c>
      <c r="E155" s="25">
        <f t="shared" si="21"/>
        <v>22.015625</v>
      </c>
      <c r="G155" s="25">
        <f t="shared" si="22"/>
        <v>3.9069050226310624</v>
      </c>
      <c r="H155" s="25">
        <f t="shared" si="23"/>
        <v>6396</v>
      </c>
      <c r="I155" s="25">
        <v>1.7</v>
      </c>
      <c r="J155" s="25">
        <f t="shared" si="24"/>
        <v>9.4604558963096377</v>
      </c>
      <c r="K155" s="25">
        <f t="shared" si="25"/>
        <v>-3.8535508736785751</v>
      </c>
      <c r="L155" s="25">
        <f t="shared" si="26"/>
        <v>-9.9876937902804386E-2</v>
      </c>
      <c r="N155" s="22" t="s">
        <v>210</v>
      </c>
    </row>
    <row r="156" spans="2:14">
      <c r="B156" s="12">
        <f t="shared" si="18"/>
        <v>66666</v>
      </c>
      <c r="C156" s="12">
        <f t="shared" si="19"/>
        <v>16384</v>
      </c>
      <c r="D156" s="12">
        <f t="shared" si="20"/>
        <v>1510</v>
      </c>
      <c r="E156" s="25">
        <f t="shared" si="21"/>
        <v>23.59375</v>
      </c>
      <c r="G156" s="25">
        <f t="shared" si="22"/>
        <v>3.9069050226310624</v>
      </c>
      <c r="H156" s="25">
        <f t="shared" si="23"/>
        <v>6396</v>
      </c>
      <c r="I156" s="25">
        <v>1.7</v>
      </c>
      <c r="J156" s="25">
        <f t="shared" si="24"/>
        <v>9.5603328342124421</v>
      </c>
      <c r="K156" s="25">
        <f t="shared" si="25"/>
        <v>-3.9534278115813795</v>
      </c>
      <c r="L156" s="25">
        <f t="shared" si="26"/>
        <v>-9.9663058217535294E-2</v>
      </c>
      <c r="N156" s="22" t="s">
        <v>211</v>
      </c>
    </row>
    <row r="157" spans="2:14">
      <c r="B157" s="12">
        <f t="shared" si="18"/>
        <v>66666</v>
      </c>
      <c r="C157" s="12">
        <f t="shared" si="19"/>
        <v>16384</v>
      </c>
      <c r="D157" s="12">
        <f t="shared" si="20"/>
        <v>1618</v>
      </c>
      <c r="E157" s="25">
        <f t="shared" si="21"/>
        <v>25.28125</v>
      </c>
      <c r="G157" s="25">
        <f t="shared" si="22"/>
        <v>3.9069050226310624</v>
      </c>
      <c r="H157" s="25">
        <f t="shared" si="23"/>
        <v>6396</v>
      </c>
      <c r="I157" s="25">
        <v>1.7</v>
      </c>
      <c r="J157" s="25">
        <f t="shared" si="24"/>
        <v>9.6599958924299774</v>
      </c>
      <c r="K157" s="25">
        <f t="shared" si="25"/>
        <v>-4.0530908697989148</v>
      </c>
      <c r="L157" s="25">
        <f t="shared" si="26"/>
        <v>-9.9892290791856908E-2</v>
      </c>
      <c r="N157" s="22" t="s">
        <v>212</v>
      </c>
    </row>
    <row r="158" spans="2:14">
      <c r="B158" s="12">
        <f t="shared" si="18"/>
        <v>66666</v>
      </c>
      <c r="C158" s="12">
        <f t="shared" si="19"/>
        <v>16384</v>
      </c>
      <c r="D158" s="12">
        <f t="shared" si="20"/>
        <v>1734</v>
      </c>
      <c r="E158" s="25">
        <f t="shared" si="21"/>
        <v>27.09375</v>
      </c>
      <c r="G158" s="25">
        <f t="shared" si="22"/>
        <v>3.9069050226310624</v>
      </c>
      <c r="H158" s="25">
        <f t="shared" si="23"/>
        <v>6396</v>
      </c>
      <c r="I158" s="25">
        <v>1.7</v>
      </c>
      <c r="J158" s="25">
        <f t="shared" si="24"/>
        <v>9.7598881832218343</v>
      </c>
      <c r="K158" s="25">
        <f t="shared" si="25"/>
        <v>-4.1529831605907717</v>
      </c>
      <c r="L158" s="25">
        <f t="shared" si="26"/>
        <v>-0.10042287169764741</v>
      </c>
      <c r="N158" s="22" t="s">
        <v>213</v>
      </c>
    </row>
    <row r="159" spans="2:14">
      <c r="B159" s="12">
        <f t="shared" si="18"/>
        <v>66666</v>
      </c>
      <c r="C159" s="12">
        <f t="shared" si="19"/>
        <v>16384</v>
      </c>
      <c r="D159" s="12">
        <f t="shared" si="20"/>
        <v>1859</v>
      </c>
      <c r="E159" s="25">
        <f t="shared" si="21"/>
        <v>29.046875</v>
      </c>
      <c r="G159" s="25">
        <f t="shared" si="22"/>
        <v>3.9069050226310624</v>
      </c>
      <c r="H159" s="25">
        <f t="shared" si="23"/>
        <v>6396</v>
      </c>
      <c r="I159" s="25">
        <v>1.7</v>
      </c>
      <c r="J159" s="25">
        <f t="shared" si="24"/>
        <v>9.8603110549194817</v>
      </c>
      <c r="K159" s="25">
        <f t="shared" si="25"/>
        <v>-4.2534060322884191</v>
      </c>
      <c r="L159" s="25">
        <f t="shared" si="26"/>
        <v>-9.969087714859981E-2</v>
      </c>
      <c r="N159" s="22" t="s">
        <v>214</v>
      </c>
    </row>
    <row r="160" spans="2:14">
      <c r="B160" s="12">
        <f t="shared" si="18"/>
        <v>66666</v>
      </c>
      <c r="C160" s="12">
        <f t="shared" si="19"/>
        <v>16384</v>
      </c>
      <c r="D160" s="12">
        <f t="shared" si="20"/>
        <v>1992</v>
      </c>
      <c r="E160" s="25">
        <f t="shared" si="21"/>
        <v>31.125</v>
      </c>
      <c r="G160" s="25">
        <f t="shared" si="22"/>
        <v>3.9069050226310624</v>
      </c>
      <c r="H160" s="25">
        <f t="shared" si="23"/>
        <v>6396</v>
      </c>
      <c r="I160" s="25">
        <v>1.7</v>
      </c>
      <c r="J160" s="25">
        <f t="shared" si="24"/>
        <v>9.9600019320680815</v>
      </c>
      <c r="K160" s="25">
        <f t="shared" si="25"/>
        <v>-4.3530969094370189</v>
      </c>
      <c r="L160" s="25">
        <f t="shared" si="26"/>
        <v>-9.934252875634364E-2</v>
      </c>
      <c r="N160" s="22" t="s">
        <v>215</v>
      </c>
    </row>
    <row r="161" spans="2:14">
      <c r="B161" s="12">
        <f t="shared" si="18"/>
        <v>66666</v>
      </c>
      <c r="C161" s="12">
        <f t="shared" si="19"/>
        <v>16384</v>
      </c>
      <c r="D161" s="12">
        <f t="shared" si="20"/>
        <v>2134</v>
      </c>
      <c r="E161" s="25">
        <f t="shared" si="21"/>
        <v>33.34375</v>
      </c>
      <c r="G161" s="25">
        <f t="shared" si="22"/>
        <v>3.9069050226310624</v>
      </c>
      <c r="H161" s="25">
        <f t="shared" si="23"/>
        <v>6396</v>
      </c>
      <c r="I161" s="25">
        <v>1.7</v>
      </c>
      <c r="J161" s="25">
        <f t="shared" si="24"/>
        <v>10.059344460824425</v>
      </c>
      <c r="K161" s="25">
        <f t="shared" si="25"/>
        <v>-4.4524394381933625</v>
      </c>
      <c r="L161" s="25">
        <f t="shared" si="26"/>
        <v>-9.989618958724833E-2</v>
      </c>
      <c r="N161" s="22" t="s">
        <v>216</v>
      </c>
    </row>
    <row r="162" spans="2:14">
      <c r="B162" s="12">
        <f t="shared" si="18"/>
        <v>66666</v>
      </c>
      <c r="C162" s="12">
        <f t="shared" si="19"/>
        <v>16384</v>
      </c>
      <c r="D162" s="12">
        <f t="shared" si="20"/>
        <v>2287</v>
      </c>
      <c r="E162" s="25">
        <f t="shared" si="21"/>
        <v>35.734375</v>
      </c>
      <c r="G162" s="25">
        <f t="shared" si="22"/>
        <v>3.9069050226310624</v>
      </c>
      <c r="H162" s="25">
        <f t="shared" si="23"/>
        <v>6396</v>
      </c>
      <c r="I162" s="25">
        <v>1.7</v>
      </c>
      <c r="J162" s="25">
        <f t="shared" si="24"/>
        <v>10.159240650411673</v>
      </c>
      <c r="K162" s="25">
        <f t="shared" si="25"/>
        <v>-4.5523356277806108</v>
      </c>
      <c r="L162" s="25">
        <f t="shared" si="26"/>
        <v>-9.9914118455167511E-2</v>
      </c>
      <c r="N162" s="22" t="s">
        <v>217</v>
      </c>
    </row>
    <row r="163" spans="2:14">
      <c r="B163" s="12">
        <f t="shared" si="18"/>
        <v>66666</v>
      </c>
      <c r="C163" s="12">
        <f t="shared" si="19"/>
        <v>16384</v>
      </c>
      <c r="D163" s="12">
        <f t="shared" si="20"/>
        <v>2451</v>
      </c>
      <c r="E163" s="25">
        <f t="shared" si="21"/>
        <v>38.296875</v>
      </c>
      <c r="G163" s="25">
        <f t="shared" si="22"/>
        <v>3.9069050226310624</v>
      </c>
      <c r="H163" s="25">
        <f t="shared" si="23"/>
        <v>6396</v>
      </c>
      <c r="I163" s="25">
        <v>1.7</v>
      </c>
      <c r="J163" s="25">
        <f t="shared" si="24"/>
        <v>10.259154768866841</v>
      </c>
      <c r="K163" s="25">
        <f t="shared" si="25"/>
        <v>-4.6522497462357784</v>
      </c>
      <c r="L163" s="25">
        <f t="shared" si="26"/>
        <v>-0.10004571626679137</v>
      </c>
      <c r="N163" s="22" t="s">
        <v>218</v>
      </c>
    </row>
    <row r="164" spans="2:14">
      <c r="B164" s="12">
        <f t="shared" si="18"/>
        <v>66666</v>
      </c>
      <c r="C164" s="12">
        <f t="shared" si="19"/>
        <v>16384</v>
      </c>
      <c r="D164" s="12">
        <f t="shared" si="20"/>
        <v>2627</v>
      </c>
      <c r="E164" s="25">
        <f t="shared" si="21"/>
        <v>41.046875</v>
      </c>
      <c r="G164" s="25">
        <f t="shared" si="22"/>
        <v>3.9069050226310624</v>
      </c>
      <c r="H164" s="25">
        <f t="shared" si="23"/>
        <v>6396</v>
      </c>
      <c r="I164" s="25">
        <v>1.7</v>
      </c>
      <c r="J164" s="25">
        <f t="shared" si="24"/>
        <v>10.359200485133632</v>
      </c>
      <c r="K164" s="25">
        <f t="shared" si="25"/>
        <v>-4.7522954625025697</v>
      </c>
      <c r="L164" s="25">
        <f t="shared" si="26"/>
        <v>-9.9718721833960799E-2</v>
      </c>
      <c r="N164" s="22" t="s">
        <v>219</v>
      </c>
    </row>
    <row r="165" spans="2:14">
      <c r="B165" s="12">
        <f t="shared" si="18"/>
        <v>66666</v>
      </c>
      <c r="C165" s="12">
        <f t="shared" si="19"/>
        <v>16384</v>
      </c>
      <c r="D165" s="12">
        <f t="shared" si="20"/>
        <v>2815</v>
      </c>
      <c r="E165" s="25">
        <f t="shared" si="21"/>
        <v>43.984375</v>
      </c>
      <c r="G165" s="25">
        <f t="shared" si="22"/>
        <v>3.9069050226310624</v>
      </c>
      <c r="H165" s="25">
        <f t="shared" si="23"/>
        <v>6396</v>
      </c>
      <c r="I165" s="25">
        <v>1.7</v>
      </c>
      <c r="J165" s="25">
        <f t="shared" si="24"/>
        <v>10.458919206967593</v>
      </c>
      <c r="K165" s="25">
        <f t="shared" si="25"/>
        <v>-4.8520141843365305</v>
      </c>
      <c r="L165" s="25">
        <f t="shared" si="26"/>
        <v>-0.10284605666011437</v>
      </c>
      <c r="N165" s="22" t="s">
        <v>220</v>
      </c>
    </row>
    <row r="166" spans="2:14">
      <c r="B166" s="12">
        <f t="shared" si="18"/>
        <v>66666</v>
      </c>
      <c r="C166" s="12">
        <f t="shared" si="19"/>
        <v>16384</v>
      </c>
      <c r="D166" s="12">
        <f t="shared" si="20"/>
        <v>3023</v>
      </c>
      <c r="E166" s="25">
        <f t="shared" si="21"/>
        <v>47.234375</v>
      </c>
      <c r="G166" s="25">
        <f t="shared" si="22"/>
        <v>3.9069050226310624</v>
      </c>
      <c r="H166" s="25">
        <f t="shared" si="23"/>
        <v>6396</v>
      </c>
      <c r="I166" s="25">
        <v>1.7</v>
      </c>
      <c r="J166" s="25">
        <f t="shared" si="24"/>
        <v>10.561765263627708</v>
      </c>
      <c r="K166" s="25">
        <f t="shared" si="25"/>
        <v>-4.9548602409966449</v>
      </c>
      <c r="L166" s="25">
        <f t="shared" si="26"/>
        <v>-9.9911840946682595E-2</v>
      </c>
      <c r="N166" s="22" t="s">
        <v>221</v>
      </c>
    </row>
    <row r="167" spans="2:14">
      <c r="B167" s="12">
        <f t="shared" si="18"/>
        <v>74994</v>
      </c>
      <c r="C167" s="12">
        <f t="shared" si="19"/>
        <v>16384</v>
      </c>
      <c r="D167" s="12">
        <f t="shared" si="20"/>
        <v>2880</v>
      </c>
      <c r="E167" s="25">
        <f t="shared" si="21"/>
        <v>45</v>
      </c>
      <c r="G167" s="25">
        <f t="shared" si="22"/>
        <v>3.737081014386348</v>
      </c>
      <c r="H167" s="25">
        <f t="shared" si="23"/>
        <v>7194.9963099630986</v>
      </c>
      <c r="I167" s="25">
        <v>1.7</v>
      </c>
      <c r="J167" s="25">
        <f t="shared" si="24"/>
        <v>10.491853096329676</v>
      </c>
      <c r="K167" s="25">
        <f t="shared" si="25"/>
        <v>-5.0547720819433275</v>
      </c>
      <c r="L167" s="25">
        <f t="shared" si="26"/>
        <v>-9.9553795849041116E-2</v>
      </c>
      <c r="N167" s="22" t="s">
        <v>222</v>
      </c>
    </row>
    <row r="168" spans="2:14">
      <c r="B168" s="12">
        <f t="shared" si="18"/>
        <v>83332</v>
      </c>
      <c r="C168" s="12">
        <f t="shared" si="19"/>
        <v>16384</v>
      </c>
      <c r="D168" s="12">
        <f t="shared" si="20"/>
        <v>2777</v>
      </c>
      <c r="E168" s="25">
        <f t="shared" si="21"/>
        <v>43.390625</v>
      </c>
      <c r="G168" s="25">
        <f t="shared" si="22"/>
        <v>3.5849855840264779</v>
      </c>
      <c r="H168" s="25">
        <f t="shared" si="23"/>
        <v>7994.9520295202938</v>
      </c>
      <c r="I168" s="25">
        <v>1.7</v>
      </c>
      <c r="J168" s="25">
        <f t="shared" si="24"/>
        <v>10.439311461818846</v>
      </c>
      <c r="K168" s="25">
        <f t="shared" si="25"/>
        <v>-5.1543258777923686</v>
      </c>
      <c r="L168" s="25">
        <f t="shared" si="26"/>
        <v>-0.10033204441918997</v>
      </c>
      <c r="N168" s="22" t="s">
        <v>223</v>
      </c>
    </row>
    <row r="169" spans="2:14">
      <c r="B169" s="12">
        <f t="shared" si="18"/>
        <v>83332</v>
      </c>
      <c r="C169" s="12">
        <f t="shared" si="19"/>
        <v>16384</v>
      </c>
      <c r="D169" s="12">
        <f t="shared" si="20"/>
        <v>2977</v>
      </c>
      <c r="E169" s="25">
        <f t="shared" si="21"/>
        <v>46.515625</v>
      </c>
      <c r="G169" s="25">
        <f t="shared" si="22"/>
        <v>3.5849855840264779</v>
      </c>
      <c r="H169" s="25">
        <f t="shared" si="23"/>
        <v>7994.9520295202938</v>
      </c>
      <c r="I169" s="25">
        <v>1.7</v>
      </c>
      <c r="J169" s="25">
        <f t="shared" si="24"/>
        <v>10.539643506238036</v>
      </c>
      <c r="K169" s="25">
        <f t="shared" si="25"/>
        <v>-5.2546579222115586</v>
      </c>
      <c r="L169" s="25">
        <f t="shared" si="26"/>
        <v>-9.9615358628240003E-2</v>
      </c>
      <c r="N169" s="22" t="s">
        <v>224</v>
      </c>
    </row>
    <row r="170" spans="2:14">
      <c r="B170" s="12">
        <f t="shared" si="18"/>
        <v>91660</v>
      </c>
      <c r="C170" s="12">
        <f t="shared" si="19"/>
        <v>16384</v>
      </c>
      <c r="D170" s="12">
        <f t="shared" si="20"/>
        <v>2900</v>
      </c>
      <c r="E170" s="25">
        <f t="shared" si="21"/>
        <v>45.3125</v>
      </c>
      <c r="G170" s="25">
        <f t="shared" si="22"/>
        <v>3.4475639040624997</v>
      </c>
      <c r="H170" s="25">
        <f t="shared" si="23"/>
        <v>8793.9483394833933</v>
      </c>
      <c r="I170" s="25">
        <v>1.7</v>
      </c>
      <c r="J170" s="25">
        <f t="shared" si="24"/>
        <v>10.501837184902298</v>
      </c>
      <c r="K170" s="25">
        <f t="shared" si="25"/>
        <v>-5.3542732808397986</v>
      </c>
      <c r="L170" s="25">
        <f t="shared" si="26"/>
        <v>-0.10002410357414604</v>
      </c>
      <c r="N170" s="22" t="s">
        <v>225</v>
      </c>
    </row>
    <row r="171" spans="2:14">
      <c r="B171" s="12">
        <f t="shared" si="18"/>
        <v>99999</v>
      </c>
      <c r="C171" s="12">
        <f t="shared" si="19"/>
        <v>16384</v>
      </c>
      <c r="D171" s="12">
        <f t="shared" si="20"/>
        <v>2849</v>
      </c>
      <c r="E171" s="25">
        <f t="shared" si="21"/>
        <v>44.515625</v>
      </c>
      <c r="G171" s="25">
        <f t="shared" si="22"/>
        <v>3.3219425219099064</v>
      </c>
      <c r="H171" s="25">
        <f t="shared" si="23"/>
        <v>9593.9999999999982</v>
      </c>
      <c r="I171" s="25">
        <v>1.7</v>
      </c>
      <c r="J171" s="25">
        <f t="shared" si="24"/>
        <v>10.476239906323851</v>
      </c>
      <c r="K171" s="25">
        <f t="shared" si="25"/>
        <v>-5.4542973844139446</v>
      </c>
      <c r="L171" s="25">
        <f t="shared" si="26"/>
        <v>-9.551273717969444E-2</v>
      </c>
      <c r="N171" s="22" t="s">
        <v>226</v>
      </c>
    </row>
    <row r="172" spans="2:14">
      <c r="B172" s="12">
        <f t="shared" si="18"/>
        <v>99999</v>
      </c>
      <c r="C172" s="12">
        <f t="shared" si="19"/>
        <v>16384</v>
      </c>
      <c r="D172" s="12">
        <f t="shared" si="20"/>
        <v>3044</v>
      </c>
      <c r="E172" s="25">
        <f t="shared" si="21"/>
        <v>47.5625</v>
      </c>
      <c r="G172" s="25">
        <f t="shared" si="22"/>
        <v>3.3219425219099064</v>
      </c>
      <c r="H172" s="25">
        <f t="shared" si="23"/>
        <v>9593.9999999999982</v>
      </c>
      <c r="I172" s="25">
        <v>1.7</v>
      </c>
      <c r="J172" s="25">
        <f t="shared" si="24"/>
        <v>10.571752643503546</v>
      </c>
      <c r="K172" s="25">
        <f t="shared" si="25"/>
        <v>-5.5498101215936391</v>
      </c>
      <c r="L172" s="25">
        <f t="shared" si="26"/>
        <v>-9.9788423208337917E-2</v>
      </c>
      <c r="N172" s="22" t="s">
        <v>227</v>
      </c>
    </row>
    <row r="173" spans="2:14">
      <c r="B173" s="12">
        <f t="shared" si="18"/>
        <v>99999</v>
      </c>
      <c r="C173" s="12">
        <f t="shared" si="19"/>
        <v>16384</v>
      </c>
      <c r="D173" s="12">
        <f t="shared" si="20"/>
        <v>3262</v>
      </c>
      <c r="E173" s="25">
        <f t="shared" si="21"/>
        <v>50.96875</v>
      </c>
      <c r="G173" s="25">
        <f t="shared" si="22"/>
        <v>3.3219425219099064</v>
      </c>
      <c r="H173" s="25">
        <f t="shared" si="23"/>
        <v>9593.9999999999982</v>
      </c>
      <c r="I173" s="25">
        <v>1.7</v>
      </c>
      <c r="J173" s="25">
        <f t="shared" si="24"/>
        <v>10.671541066711884</v>
      </c>
      <c r="K173" s="25">
        <f t="shared" si="25"/>
        <v>-5.649598544801977</v>
      </c>
      <c r="L173" s="25">
        <f t="shared" si="26"/>
        <v>-9.994840278871564E-2</v>
      </c>
      <c r="N173" s="22" t="s">
        <v>228</v>
      </c>
    </row>
    <row r="174" spans="2:14">
      <c r="B174" s="12">
        <f t="shared" si="18"/>
        <v>99999</v>
      </c>
      <c r="C174" s="12">
        <f t="shared" si="19"/>
        <v>16384</v>
      </c>
      <c r="D174" s="12">
        <f t="shared" si="20"/>
        <v>3496</v>
      </c>
      <c r="E174" s="25">
        <f t="shared" si="21"/>
        <v>54.625</v>
      </c>
      <c r="G174" s="25">
        <f t="shared" si="22"/>
        <v>3.3219425219099064</v>
      </c>
      <c r="H174" s="25">
        <f t="shared" si="23"/>
        <v>9593.9999999999982</v>
      </c>
      <c r="I174" s="25">
        <v>1.7</v>
      </c>
      <c r="J174" s="25">
        <f t="shared" si="24"/>
        <v>10.771489469500599</v>
      </c>
      <c r="K174" s="25">
        <f t="shared" si="25"/>
        <v>-5.7495469475906926</v>
      </c>
      <c r="L174" s="25">
        <f t="shared" si="26"/>
        <v>-9.9645714742447211E-2</v>
      </c>
      <c r="N174" s="22" t="s">
        <v>229</v>
      </c>
    </row>
    <row r="175" spans="2:14">
      <c r="B175" s="12">
        <f t="shared" si="18"/>
        <v>99999</v>
      </c>
      <c r="C175" s="12">
        <f t="shared" si="19"/>
        <v>16384</v>
      </c>
      <c r="D175" s="12">
        <f t="shared" si="20"/>
        <v>3746</v>
      </c>
      <c r="E175" s="25">
        <f t="shared" si="21"/>
        <v>58.53125</v>
      </c>
      <c r="G175" s="25">
        <f t="shared" si="22"/>
        <v>3.3219425219099064</v>
      </c>
      <c r="H175" s="25">
        <f t="shared" si="23"/>
        <v>9593.9999999999982</v>
      </c>
      <c r="I175" s="25">
        <v>1.7</v>
      </c>
      <c r="J175" s="25">
        <f t="shared" si="24"/>
        <v>10.871135184243046</v>
      </c>
      <c r="K175" s="25">
        <f t="shared" si="25"/>
        <v>-5.8491926623331398</v>
      </c>
      <c r="L175" s="25">
        <f t="shared" si="26"/>
        <v>-0.10004908816163116</v>
      </c>
      <c r="N175" s="22" t="s">
        <v>230</v>
      </c>
    </row>
    <row r="176" spans="2:14">
      <c r="B176" s="12">
        <f t="shared" si="18"/>
        <v>99999</v>
      </c>
      <c r="C176" s="12">
        <f t="shared" si="19"/>
        <v>16384</v>
      </c>
      <c r="D176" s="12">
        <f t="shared" si="20"/>
        <v>4015</v>
      </c>
      <c r="E176" s="25">
        <f t="shared" si="21"/>
        <v>62.734375</v>
      </c>
      <c r="G176" s="25">
        <f t="shared" si="22"/>
        <v>3.3219425219099064</v>
      </c>
      <c r="H176" s="25">
        <f t="shared" si="23"/>
        <v>9593.9999999999982</v>
      </c>
      <c r="I176" s="25">
        <v>1.7</v>
      </c>
      <c r="J176" s="25">
        <f t="shared" si="24"/>
        <v>10.971184272404678</v>
      </c>
      <c r="K176" s="25">
        <f t="shared" si="25"/>
        <v>-5.949241750494771</v>
      </c>
      <c r="L176" s="25">
        <f t="shared" si="26"/>
        <v>-2.8815727595322471E-2</v>
      </c>
      <c r="N176" s="22" t="s">
        <v>231</v>
      </c>
    </row>
    <row r="177" spans="2:14">
      <c r="B177" s="12">
        <f t="shared" si="18"/>
        <v>99999</v>
      </c>
      <c r="C177" s="12">
        <f t="shared" si="19"/>
        <v>16384</v>
      </c>
      <c r="D177" s="12">
        <f t="shared" si="20"/>
        <v>4096</v>
      </c>
      <c r="E177" s="25">
        <f t="shared" si="21"/>
        <v>64</v>
      </c>
      <c r="G177" s="25">
        <f t="shared" si="22"/>
        <v>3.3219425219099064</v>
      </c>
      <c r="H177" s="25">
        <f t="shared" si="23"/>
        <v>9593.9999999999982</v>
      </c>
      <c r="I177" s="25">
        <v>1.7</v>
      </c>
      <c r="J177" s="25">
        <f t="shared" si="24"/>
        <v>11</v>
      </c>
      <c r="K177" s="25">
        <f t="shared" si="25"/>
        <v>-5.9780574780900935</v>
      </c>
      <c r="N177" s="22" t="s">
        <v>232</v>
      </c>
    </row>
    <row r="178" spans="2:14">
      <c r="N178" s="22" t="s">
        <v>233</v>
      </c>
    </row>
    <row r="179" spans="2:14">
      <c r="N179" s="22" t="s">
        <v>233</v>
      </c>
    </row>
    <row r="180" spans="2:14">
      <c r="N180" s="22" t="s">
        <v>233</v>
      </c>
    </row>
    <row r="181" spans="2:14">
      <c r="N181" s="22" t="s">
        <v>233</v>
      </c>
    </row>
    <row r="182" spans="2:14">
      <c r="N182" s="22" t="s">
        <v>233</v>
      </c>
    </row>
    <row r="183" spans="2:14">
      <c r="N183" s="22" t="s">
        <v>233</v>
      </c>
    </row>
    <row r="184" spans="2:14">
      <c r="N184" s="22" t="s">
        <v>233</v>
      </c>
    </row>
    <row r="185" spans="2:14">
      <c r="N185" s="22" t="s">
        <v>233</v>
      </c>
    </row>
    <row r="186" spans="2:14">
      <c r="N186" s="22" t="s">
        <v>233</v>
      </c>
    </row>
    <row r="187" spans="2:14">
      <c r="N187" s="22" t="s">
        <v>233</v>
      </c>
    </row>
    <row r="188" spans="2:14">
      <c r="N188" s="22" t="s">
        <v>233</v>
      </c>
    </row>
    <row r="189" spans="2:14">
      <c r="N189" s="22" t="s">
        <v>233</v>
      </c>
    </row>
    <row r="190" spans="2:14">
      <c r="N190" s="22" t="s">
        <v>233</v>
      </c>
    </row>
    <row r="191" spans="2:14">
      <c r="N191" s="22" t="s">
        <v>233</v>
      </c>
    </row>
    <row r="192" spans="2:14">
      <c r="N192" s="22" t="s">
        <v>233</v>
      </c>
    </row>
    <row r="193" spans="14:14">
      <c r="N193" s="22" t="s">
        <v>233</v>
      </c>
    </row>
    <row r="194" spans="14:14">
      <c r="N194" s="22" t="s">
        <v>233</v>
      </c>
    </row>
    <row r="195" spans="14:14">
      <c r="N195" s="22" t="s">
        <v>233</v>
      </c>
    </row>
    <row r="196" spans="14:14">
      <c r="N196" s="22" t="s">
        <v>233</v>
      </c>
    </row>
    <row r="197" spans="14:14">
      <c r="N197" s="22" t="s">
        <v>233</v>
      </c>
    </row>
    <row r="198" spans="14:14">
      <c r="N198" s="22" t="s">
        <v>233</v>
      </c>
    </row>
    <row r="199" spans="14:14">
      <c r="N199" s="22" t="s">
        <v>233</v>
      </c>
    </row>
    <row r="200" spans="14:14">
      <c r="N200" s="22" t="s">
        <v>233</v>
      </c>
    </row>
    <row r="201" spans="14:14">
      <c r="N201" s="22" t="s">
        <v>233</v>
      </c>
    </row>
    <row r="202" spans="14:14">
      <c r="N202" s="22" t="s">
        <v>233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0.AEanalysis</vt:lpstr>
      <vt:lpstr>AEPline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TrevorEChen(陳恩)</cp:lastModifiedBy>
  <dcterms:created xsi:type="dcterms:W3CDTF">2022-01-26T13:37:02Z</dcterms:created>
  <dcterms:modified xsi:type="dcterms:W3CDTF">2023-06-28T15:02:23Z</dcterms:modified>
</cp:coreProperties>
</file>